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Desktop\UDES\Diseño instruccional\Productos\"/>
    </mc:Choice>
  </mc:AlternateContent>
  <xr:revisionPtr revIDLastSave="0" documentId="8_{219AFFB6-471F-41EA-8349-67C732B0CDC2}" xr6:coauthVersionLast="47" xr6:coauthVersionMax="47" xr10:uidLastSave="{00000000-0000-0000-0000-000000000000}"/>
  <bookViews>
    <workbookView xWindow="-120" yWindow="-120" windowWidth="19440" windowHeight="15000" firstSheet="1" activeTab="1" xr2:uid="{00000000-000D-0000-FFFF-FFFF00000000}"/>
  </bookViews>
  <sheets>
    <sheet name="Momento I" sheetId="7" r:id="rId1"/>
    <sheet name="Momento II" sheetId="8" r:id="rId2"/>
    <sheet name="Glosario del curso" sheetId="9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vqWrRw415bCgb8H7j8jX1aurvVQ=="/>
    </ext>
  </extLst>
</workbook>
</file>

<file path=xl/calcChain.xml><?xml version="1.0" encoding="utf-8"?>
<calcChain xmlns="http://schemas.openxmlformats.org/spreadsheetml/2006/main">
  <c r="B3" i="9" l="1"/>
  <c r="D1" i="9" l="1"/>
  <c r="D16" i="8" l="1"/>
  <c r="H16" i="8" s="1"/>
  <c r="D15" i="8"/>
  <c r="H15" i="8" s="1"/>
  <c r="D14" i="8"/>
  <c r="H14" i="8" s="1"/>
  <c r="D7" i="8"/>
  <c r="D6" i="8"/>
  <c r="L5" i="8"/>
  <c r="D5" i="8"/>
  <c r="L4" i="8"/>
  <c r="D4" i="8"/>
</calcChain>
</file>

<file path=xl/sharedStrings.xml><?xml version="1.0" encoding="utf-8"?>
<sst xmlns="http://schemas.openxmlformats.org/spreadsheetml/2006/main" count="163" uniqueCount="125">
  <si>
    <t xml:space="preserve">Universidad de Santander - UDES
 Campus Virtual UDES
 Facultad de Ingenierías </t>
  </si>
  <si>
    <t>PROGRAMA</t>
  </si>
  <si>
    <t>Ingenieria de Software</t>
  </si>
  <si>
    <t>NIVEL</t>
  </si>
  <si>
    <t xml:space="preserve">Pregrado </t>
  </si>
  <si>
    <t>CURSO</t>
  </si>
  <si>
    <t xml:space="preserve">Estadística Descriptiva </t>
  </si>
  <si>
    <t>CRÉDITOS</t>
  </si>
  <si>
    <t>RESULTADO DE APRENDIZAJE 
(Competencia)</t>
  </si>
  <si>
    <t>Intervenir en la solución de problemas que involucren información cuantitativa y esquemática desde el diseño y la ejecución de planes y estrategias que lleven a soluciones adecuadas. </t>
  </si>
  <si>
    <t>VERSIÓN Y FECHA</t>
  </si>
  <si>
    <t>Versión 1
Septiembre de 2023</t>
  </si>
  <si>
    <t xml:space="preserve">UNIDAD DE COMPETENCIA </t>
  </si>
  <si>
    <t>Resuelve problemas relacionados con el análisis e interpretación de datos para apoyar la toma de decisiones teniendo en cuenta los fundamentos y técnicas de la estadística descriptiva.</t>
  </si>
  <si>
    <t xml:space="preserve">RÚBRICA DEL CURSO
(Basada en Taxonomía SOLO) </t>
  </si>
  <si>
    <t>Dimensión</t>
  </si>
  <si>
    <t xml:space="preserve">Dimensiones del resultado de aprendizaje </t>
  </si>
  <si>
    <t xml:space="preserve">Niveles y rangos de calificación </t>
  </si>
  <si>
    <t xml:space="preserve">Momento de evaluación de proceso </t>
  </si>
  <si>
    <t>Uniestructural</t>
  </si>
  <si>
    <t xml:space="preserve">Multiestructural </t>
  </si>
  <si>
    <t xml:space="preserve">Relacional </t>
  </si>
  <si>
    <t xml:space="preserve">I
Nivel alcanzado 
(40 %) </t>
  </si>
  <si>
    <t xml:space="preserve">No Aprobado </t>
  </si>
  <si>
    <t xml:space="preserve">Aprobado </t>
  </si>
  <si>
    <t>Nivel 1
Nota: 0 a 1.9</t>
  </si>
  <si>
    <t>Nivel 2
Nota: 2 a 2.5</t>
  </si>
  <si>
    <t>Nivel 3
Nota: 2.6 a 2.9</t>
  </si>
  <si>
    <t>Nivel 4
Nota: 3.0 a 4.0</t>
  </si>
  <si>
    <t>Nivel 5
Nota: 4.0 a 5.0</t>
  </si>
  <si>
    <t>SABER
(Cognitiva)</t>
  </si>
  <si>
    <t>Expone planteamientos estadísticos formales de una situación problema.</t>
  </si>
  <si>
    <t xml:space="preserve">Identifica las etapas de una investigación estadística </t>
  </si>
  <si>
    <t xml:space="preserve">Lista aspectos y conceptos básicos de la estadística descriptiva </t>
  </si>
  <si>
    <t xml:space="preserve">Describe el contexto de la problemática mediante  variables cualitativas </t>
  </si>
  <si>
    <t xml:space="preserve">Asocia conceptos fundamentales de la estadística y los pone en practica para la recolección y organización de datos de la situación problema. </t>
  </si>
  <si>
    <t>SER
(Actitudinal)</t>
  </si>
  <si>
    <t>Analiza variables relacionadas con un problema estadístico</t>
  </si>
  <si>
    <t xml:space="preserve">Percibe la importancia de la estadística descriptiva para abordar la situación problema </t>
  </si>
  <si>
    <t xml:space="preserve">Indaga acerca de los conceptos básicos  y la manera de aplicarlos a la situación problema </t>
  </si>
  <si>
    <t xml:space="preserve">Selecciona variables cualitativas de la situación problema 
</t>
  </si>
  <si>
    <t>Determina la importancia de la investigación estadística para abordar la situación problema y para su contexto real</t>
  </si>
  <si>
    <t>HACER
(Procedimental)</t>
  </si>
  <si>
    <t>Propone soluciones basadas en el análisis de datos y representaciones de estos.</t>
  </si>
  <si>
    <t xml:space="preserve">Cumple con presentar  un organizador grafico para representar las etapas de una investigación estadística </t>
  </si>
  <si>
    <t xml:space="preserve">Examina  referentes bibliográficos para contextualizar la situación problema </t>
  </si>
  <si>
    <t xml:space="preserve">Explora  el uso de hojas de calculo o software estadístico para analizar y representar datos de variables cualitativas de la situación problema </t>
  </si>
  <si>
    <t xml:space="preserve">Genera   métodos, técnicas y herramientas estadísticas para analizar, representar datos y encontrar soluciones basada en fundamentos con base a  la situación problema </t>
  </si>
  <si>
    <r>
      <rPr>
        <b/>
        <sz val="12"/>
        <color rgb="FF000000"/>
        <rFont val="Arial"/>
        <family val="2"/>
      </rPr>
      <t xml:space="preserve">Condiciones de recepción de entregables 
</t>
    </r>
    <r>
      <rPr>
        <sz val="12"/>
        <color rgb="FF000000"/>
        <rFont val="Arial"/>
        <family val="2"/>
      </rPr>
      <t>Ver los detalles las instrucciones y condiciones para los entregables.</t>
    </r>
  </si>
  <si>
    <t xml:space="preserve">Universidad de Santander - UDES
 Campus Virtual UDES
 Facultad de Ingenierias </t>
  </si>
  <si>
    <t>Momento de evaluación de producto</t>
  </si>
  <si>
    <t xml:space="preserve">Abstracto ampliado </t>
  </si>
  <si>
    <t xml:space="preserve">II
Nivel alcanzado 
(60 %) </t>
  </si>
  <si>
    <t>Nivel 1
Nota: 0 a 0.9</t>
  </si>
  <si>
    <t>Nivel 2
Nota: 1 a 1.9</t>
  </si>
  <si>
    <t>Nivel 3
Nota: 2 a 2.9</t>
  </si>
  <si>
    <t>Nivel 4
Nota: 3 a 3.5</t>
  </si>
  <si>
    <t>Nivel 5
Nota: 3.6 a 4.2</t>
  </si>
  <si>
    <t>Nivel 6
Nota: 4.3 a 5.0</t>
  </si>
  <si>
    <t xml:space="preserve">Identifica medidas estadisticas univariantes y bivariantes </t>
  </si>
  <si>
    <t xml:space="preserve">Lista aspectos y conceptos de las medidas estadisticas univariantes y bivariantes </t>
  </si>
  <si>
    <t>Describe el contexto de la problemática mediante  variables cuantitativas</t>
  </si>
  <si>
    <t xml:space="preserve">Asocia conceptos fundamentales de la estadística y los pone en practica para la interpretación y presentación de resultados </t>
  </si>
  <si>
    <t xml:space="preserve">Valida métodos, técnicas y herramientas  de la estadística descriptiva para analizar, comprobar y comparar resultados con base a la situación problema. </t>
  </si>
  <si>
    <t xml:space="preserve">Indaga acerca de los conceptos especificos y la manera de aplicarlos a la situación problema </t>
  </si>
  <si>
    <t xml:space="preserve">Selecciona variables cuantitativas de la situación problema </t>
  </si>
  <si>
    <t xml:space="preserve">Comprueba el impacto que tiene el estudio de la estadística descriptiva para resolver problemas en el contexto real y en su desarrollo profesional </t>
  </si>
  <si>
    <t xml:space="preserve">Cumple con presentar  un organizador grafico para representar las medidas univariantes y bivariantes </t>
  </si>
  <si>
    <t xml:space="preserve">Examina referentes bibliográficos para tomar decisiones con base a la situación problema </t>
  </si>
  <si>
    <t xml:space="preserve">Explora el uso de hojas de calculo o software estadístico para analizar y representar datos de variables cuantitativas de la situación problema </t>
  </si>
  <si>
    <t xml:space="preserve">Crea soluciones innovadoras para resolver la situación problema aplicando   métodos, técnicas y herramientas estadísticas para la presentación de resultados. </t>
  </si>
  <si>
    <t>VERBOS ESTABLECIDOS EN LA RÚBRICA DEL CURSO</t>
  </si>
  <si>
    <t>DIMENSIÓN</t>
  </si>
  <si>
    <t>VERBO</t>
  </si>
  <si>
    <t xml:space="preserve">ACEPCIÓN </t>
  </si>
  <si>
    <t>FUENTE</t>
  </si>
  <si>
    <t>SABER</t>
  </si>
  <si>
    <t>Identificar</t>
  </si>
  <si>
    <t xml:space="preserve">1. Identificar como. “Reconocer”. Comprobar que una persona o una cosa es la misma conocida en otras circunstancias o de la que se poseen ciertos datos. Establecer la identidad de una persona. </t>
  </si>
  <si>
    <t>María Moliner, Diccionario del uso del español, edición 1997.</t>
  </si>
  <si>
    <t>Listar</t>
  </si>
  <si>
    <t>Incluir en lista. Crear secuencia consecutiva de nombres de cosas, situaciones o fenómenos.</t>
  </si>
  <si>
    <t>María Moliner, Diccionario del uso del español, edición 1997. Y aportes del equipo de DNGP.</t>
  </si>
  <si>
    <t>Describir</t>
  </si>
  <si>
    <t xml:space="preserve">Delinear, dibujar, figurar una cosa, representándola de modo que dé cabal ideal de ella. </t>
  </si>
  <si>
    <t xml:space="preserve">Exponer </t>
  </si>
  <si>
    <t>Acción de presentar algo de forma clara y detallada ante los demás, ya sea para enseñar, informar o argumentar</t>
  </si>
  <si>
    <t>Asociar</t>
  </si>
  <si>
    <t>Relacionar. Establecer una relación o enlace no físico entre ideas, recuerdos,sucesos.</t>
  </si>
  <si>
    <t>María Moliner, Diccionario del uso del español, edición 1997</t>
  </si>
  <si>
    <t xml:space="preserve">Validar </t>
  </si>
  <si>
    <t>Hacer válida una cosa. En su lugar dar validez</t>
  </si>
  <si>
    <t>María Moliner, Diccionario del uso del español, edición
1997.</t>
  </si>
  <si>
    <t>SER</t>
  </si>
  <si>
    <t>Percibir</t>
  </si>
  <si>
    <t xml:space="preserve">“Advertir. Apreciar. Notar”. Enterarse de la existencia de una cosa por los sentidos, o por la inteligencia servida por los sentidos. Percibir la diferencia entre dos cosas. </t>
  </si>
  <si>
    <t>Indagar</t>
  </si>
  <si>
    <t>Tratar de llegar al conocimiento de una cosa reflexionando sobre ella o por conjeturas y pruebas.</t>
  </si>
  <si>
    <t>Real Academia Española</t>
  </si>
  <si>
    <t>Analizar</t>
  </si>
  <si>
    <t>Estudiar o examinar algo, separando o considerando por separado sus partes.</t>
  </si>
  <si>
    <t xml:space="preserve">Determinar </t>
  </si>
  <si>
    <t>Tomar la decisión de hacer la cosa que se expresa o hacer que alguien
tome una decisión, expresar lo que debe hacerse.</t>
  </si>
  <si>
    <t>Real Academia Española.</t>
  </si>
  <si>
    <t xml:space="preserve">Comprobar </t>
  </si>
  <si>
    <t>Revisar o analizar alguna cosa con el fin de confirmar o corroborar su
veracidad, existencia o exactitud.</t>
  </si>
  <si>
    <t>Diccionario de la RAE.</t>
  </si>
  <si>
    <t>Seleccionar</t>
  </si>
  <si>
    <t>Elegir una o varias personas o cosas entre un conjunto por un determinado criterio o motivo</t>
  </si>
  <si>
    <t>OXFORD</t>
  </si>
  <si>
    <t>HACER</t>
  </si>
  <si>
    <t xml:space="preserve">Cumplir </t>
  </si>
  <si>
    <t>Realizar algo que ya había sido convenido como un compromiso, un plazo.</t>
  </si>
  <si>
    <t xml:space="preserve">Proponer </t>
  </si>
  <si>
    <t>Exponer una persona, un plan, trato, proyecto, etc., buscando su conformidad para llevarlo a efecto. (V.: “PLANTEAR. PROPONER. SUGERIR</t>
  </si>
  <si>
    <t xml:space="preserve">Examinar </t>
  </si>
  <si>
    <t>Investigar con diligencia y cuidado una cosa.</t>
  </si>
  <si>
    <t>Real academia española.</t>
  </si>
  <si>
    <t xml:space="preserve">Explorar </t>
  </si>
  <si>
    <t>Examinar o analizar con detenimiento algo para conocerlo mejor y,
generalmente, obrar en consecuencia.</t>
  </si>
  <si>
    <t>Acepción 1: RAE. Acepción 2:Maria Moliner (3ra Version, 2009). Acepción 2: Lexico (Oxford).</t>
  </si>
  <si>
    <t xml:space="preserve">Generar </t>
  </si>
  <si>
    <t>Producir una cosa. Crear, dar origen.</t>
  </si>
  <si>
    <t xml:space="preserve">Crear </t>
  </si>
  <si>
    <t>Establecer, fundar, introducir por vez primera algo; hacerlo nacer o
darle vida, en sentido figurado.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</si>
</sst>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rgb="FF000000"/>
      <name val="Calibri"/>
    </font>
    <font>
      <b/>
      <sz val="12"/>
      <color rgb="FF00000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3986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16"/>
      <color rgb="FF003986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4F81BD"/>
        <bgColor rgb="FF4F81BD"/>
      </patternFill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0" fillId="0" borderId="10"/>
    <xf numFmtId="0" fontId="11" fillId="0" borderId="10"/>
  </cellStyleXfs>
  <cellXfs count="115">
    <xf numFmtId="0" fontId="0" fillId="0" borderId="0" xfId="0"/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0" fontId="3" fillId="0" borderId="10" xfId="2" applyFont="1" applyAlignment="1">
      <alignment vertical="center"/>
    </xf>
    <xf numFmtId="0" fontId="1" fillId="2" borderId="10" xfId="2" applyFont="1" applyFill="1" applyAlignment="1">
      <alignment horizontal="center" vertical="center" wrapText="1"/>
    </xf>
    <xf numFmtId="0" fontId="12" fillId="0" borderId="10" xfId="2" applyFont="1" applyAlignment="1">
      <alignment horizontal="center" vertical="center" wrapText="1"/>
    </xf>
    <xf numFmtId="0" fontId="11" fillId="0" borderId="10" xfId="2"/>
    <xf numFmtId="0" fontId="4" fillId="0" borderId="10" xfId="2" applyFont="1"/>
    <xf numFmtId="0" fontId="5" fillId="3" borderId="9" xfId="2" applyFont="1" applyFill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10" xfId="2" applyFont="1"/>
    <xf numFmtId="0" fontId="5" fillId="4" borderId="4" xfId="2" applyFont="1" applyFill="1" applyBorder="1" applyAlignment="1">
      <alignment horizontal="center" vertical="center" wrapText="1"/>
    </xf>
    <xf numFmtId="9" fontId="8" fillId="5" borderId="13" xfId="2" applyNumberFormat="1" applyFont="1" applyFill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9" fontId="8" fillId="5" borderId="11" xfId="2" applyNumberFormat="1" applyFont="1" applyFill="1" applyBorder="1" applyAlignment="1">
      <alignment horizontal="left" vertical="center" wrapText="1"/>
    </xf>
    <xf numFmtId="0" fontId="15" fillId="0" borderId="10" xfId="2" applyFont="1" applyAlignment="1">
      <alignment vertical="center"/>
    </xf>
    <xf numFmtId="0" fontId="9" fillId="0" borderId="10" xfId="2" applyFont="1" applyAlignment="1">
      <alignment horizontal="center" vertical="center" wrapText="1"/>
    </xf>
    <xf numFmtId="0" fontId="9" fillId="2" borderId="10" xfId="2" applyFont="1" applyFill="1" applyAlignment="1">
      <alignment horizontal="center" vertical="center" wrapText="1"/>
    </xf>
    <xf numFmtId="0" fontId="5" fillId="2" borderId="10" xfId="2" applyFont="1" applyFill="1" applyAlignment="1">
      <alignment horizontal="center" vertical="center"/>
    </xf>
    <xf numFmtId="0" fontId="6" fillId="0" borderId="10" xfId="2" applyFont="1" applyAlignment="1">
      <alignment vertical="top" wrapText="1"/>
    </xf>
    <xf numFmtId="0" fontId="6" fillId="2" borderId="10" xfId="2" applyFont="1" applyFill="1"/>
    <xf numFmtId="0" fontId="7" fillId="0" borderId="10" xfId="2" applyFont="1"/>
    <xf numFmtId="0" fontId="3" fillId="0" borderId="10" xfId="2" applyFont="1" applyAlignment="1">
      <alignment horizontal="center" vertical="center"/>
    </xf>
    <xf numFmtId="0" fontId="4" fillId="0" borderId="10" xfId="2" applyFont="1" applyAlignment="1">
      <alignment vertical="center"/>
    </xf>
    <xf numFmtId="0" fontId="5" fillId="3" borderId="14" xfId="2" applyFont="1" applyFill="1" applyBorder="1" applyAlignment="1">
      <alignment horizontal="center" vertical="center" wrapText="1"/>
    </xf>
    <xf numFmtId="0" fontId="11" fillId="0" borderId="13" xfId="2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9" fontId="3" fillId="5" borderId="13" xfId="2" applyNumberFormat="1" applyFont="1" applyFill="1" applyBorder="1" applyAlignment="1">
      <alignment horizontal="left" vertical="center" wrapText="1"/>
    </xf>
    <xf numFmtId="0" fontId="3" fillId="0" borderId="13" xfId="2" applyFont="1" applyBorder="1" applyAlignment="1">
      <alignment horizontal="left" vertical="center" wrapText="1"/>
    </xf>
    <xf numFmtId="0" fontId="3" fillId="0" borderId="10" xfId="2" applyFont="1" applyAlignment="1">
      <alignment vertical="top"/>
    </xf>
    <xf numFmtId="9" fontId="3" fillId="5" borderId="11" xfId="2" applyNumberFormat="1" applyFont="1" applyFill="1" applyBorder="1" applyAlignment="1">
      <alignment horizontal="left" vertical="center" wrapText="1"/>
    </xf>
    <xf numFmtId="0" fontId="3" fillId="0" borderId="11" xfId="2" applyFont="1" applyBorder="1" applyAlignment="1">
      <alignment horizontal="left" vertical="center" wrapText="1"/>
    </xf>
    <xf numFmtId="0" fontId="8" fillId="2" borderId="11" xfId="2" applyFont="1" applyFill="1" applyBorder="1" applyAlignment="1">
      <alignment horizontal="left" vertical="center" wrapText="1"/>
    </xf>
    <xf numFmtId="0" fontId="11" fillId="0" borderId="10" xfId="2" applyAlignment="1">
      <alignment vertical="top"/>
    </xf>
    <xf numFmtId="0" fontId="6" fillId="0" borderId="10" xfId="2" applyFont="1" applyAlignment="1">
      <alignment vertical="top"/>
    </xf>
    <xf numFmtId="0" fontId="9" fillId="2" borderId="9" xfId="2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9" fillId="6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vertical="center"/>
    </xf>
    <xf numFmtId="0" fontId="6" fillId="11" borderId="13" xfId="2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11" borderId="4" xfId="2" applyFont="1" applyFill="1" applyBorder="1" applyAlignment="1">
      <alignment horizontal="center" vertical="center" wrapText="1"/>
    </xf>
    <xf numFmtId="0" fontId="16" fillId="3" borderId="11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top" wrapText="1"/>
    </xf>
    <xf numFmtId="0" fontId="1" fillId="3" borderId="11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14" fillId="5" borderId="11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9" borderId="11" xfId="2" applyFont="1" applyFill="1" applyBorder="1" applyAlignment="1">
      <alignment horizontal="center" vertical="center"/>
    </xf>
    <xf numFmtId="0" fontId="5" fillId="10" borderId="11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vertical="center" wrapText="1"/>
    </xf>
    <xf numFmtId="0" fontId="6" fillId="0" borderId="4" xfId="2" applyFont="1" applyBorder="1" applyAlignment="1">
      <alignment horizontal="left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5" fillId="3" borderId="6" xfId="2" applyFont="1" applyFill="1" applyBorder="1" applyAlignment="1">
      <alignment vertical="center" wrapText="1"/>
    </xf>
    <xf numFmtId="0" fontId="1" fillId="2" borderId="2" xfId="2" applyFont="1" applyFill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" fillId="2" borderId="11" xfId="2" applyFont="1" applyFill="1" applyBorder="1" applyAlignment="1">
      <alignment horizontal="center" vertical="center" wrapText="1"/>
    </xf>
    <xf numFmtId="0" fontId="1" fillId="2" borderId="12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vertical="center" wrapText="1"/>
    </xf>
    <xf numFmtId="164" fontId="6" fillId="0" borderId="13" xfId="2" applyNumberFormat="1" applyFont="1" applyBorder="1" applyAlignment="1">
      <alignment horizontal="center" vertical="center" wrapText="1"/>
    </xf>
    <xf numFmtId="0" fontId="1" fillId="3" borderId="4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14" fillId="8" borderId="4" xfId="2" applyFont="1" applyFill="1" applyBorder="1" applyAlignment="1">
      <alignment horizontal="center" vertical="center" wrapText="1"/>
    </xf>
    <xf numFmtId="0" fontId="5" fillId="11" borderId="4" xfId="2" applyFont="1" applyFill="1" applyBorder="1" applyAlignment="1">
      <alignment horizontal="center" vertical="center" wrapText="1"/>
    </xf>
    <xf numFmtId="0" fontId="5" fillId="9" borderId="4" xfId="2" applyFont="1" applyFill="1" applyBorder="1" applyAlignment="1">
      <alignment horizontal="center" vertical="center"/>
    </xf>
    <xf numFmtId="0" fontId="5" fillId="10" borderId="4" xfId="2" applyFont="1" applyFill="1" applyBorder="1" applyAlignment="1">
      <alignment horizontal="center" vertical="center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left" vertical="center" wrapText="1"/>
    </xf>
    <xf numFmtId="0" fontId="12" fillId="0" borderId="11" xfId="2" applyFont="1" applyBorder="1" applyAlignment="1">
      <alignment horizontal="center" vertical="center" wrapText="1"/>
    </xf>
    <xf numFmtId="0" fontId="6" fillId="0" borderId="10" xfId="2" applyFont="1" applyAlignment="1">
      <alignment horizontal="left" vertical="center" wrapText="1"/>
    </xf>
    <xf numFmtId="0" fontId="21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7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 wrapText="1"/>
    </xf>
    <xf numFmtId="0" fontId="2" fillId="0" borderId="8" xfId="2" applyFont="1" applyBorder="1" applyAlignment="1"/>
    <xf numFmtId="0" fontId="2" fillId="0" borderId="16" xfId="2" applyFont="1" applyBorder="1" applyAlignment="1"/>
    <xf numFmtId="0" fontId="2" fillId="0" borderId="10" xfId="2" applyFont="1" applyAlignment="1"/>
    <xf numFmtId="0" fontId="2" fillId="0" borderId="5" xfId="2" applyFont="1" applyBorder="1" applyAlignment="1"/>
    <xf numFmtId="0" fontId="2" fillId="0" borderId="4" xfId="2" applyFont="1" applyBorder="1" applyAlignment="1"/>
    <xf numFmtId="0" fontId="2" fillId="0" borderId="13" xfId="2" applyFont="1" applyBorder="1" applyAlignment="1"/>
    <xf numFmtId="0" fontId="2" fillId="0" borderId="11" xfId="2" applyFont="1" applyBorder="1" applyAlignment="1"/>
    <xf numFmtId="0" fontId="2" fillId="0" borderId="14" xfId="2" applyFont="1" applyBorder="1" applyAlignment="1"/>
    <xf numFmtId="0" fontId="2" fillId="0" borderId="5" xfId="0" applyFont="1" applyBorder="1" applyAlignment="1"/>
    <xf numFmtId="0" fontId="2" fillId="0" borderId="1" xfId="0" applyFont="1" applyBorder="1" applyAlignment="1"/>
    <xf numFmtId="0" fontId="2" fillId="0" borderId="18" xfId="0" applyFont="1" applyBorder="1" applyAlignment="1"/>
    <xf numFmtId="0" fontId="0" fillId="0" borderId="1" xfId="0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95250</xdr:rowOff>
    </xdr:from>
    <xdr:ext cx="3448050" cy="733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23B68355-9683-4365-9CB5-89DCEFB9D4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276225"/>
          <a:ext cx="34480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1</xdr:row>
      <xdr:rowOff>95250</xdr:rowOff>
    </xdr:from>
    <xdr:ext cx="3448050" cy="733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5341443D-0249-4364-A242-F3B98C6D53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276225"/>
          <a:ext cx="34480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104775</xdr:rowOff>
    </xdr:from>
    <xdr:ext cx="3857625" cy="8191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868DC10-AA7B-4323-BE3A-86FD8DF5C6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104775"/>
          <a:ext cx="3857625" cy="8191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&#237;a%20Susel%20Tabares\Documents\CIclo2_Pregrado_Fundamentos%20de%20Econom&#237;a\Curso_Fundamentos%20de%20Econom&#237;a\Rubrica-Glosario%20del%20Curso.xlsx" TargetMode="External"/><Relationship Id="rId1" Type="http://schemas.openxmlformats.org/officeDocument/2006/relationships/externalLinkPath" Target="file:///C:\Users\Mar&#237;a%20Susel%20Tabares\Documents\CIclo2_Pregrado_Fundamentos%20de%20Econom&#237;a\Curso_Fundamentos%20de%20Econom&#237;a\Rubrica-Glosario%20del%20Cur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mento I"/>
      <sheetName val="Momento II"/>
      <sheetName val="Glosario Curso"/>
    </sheetNames>
    <sheetDataSet>
      <sheetData sheetId="0" refreshError="1"/>
      <sheetData sheetId="1" refreshError="1">
        <row r="2">
          <cell r="F2" t="str">
            <v>Universidad de Santander - UDES
 Campus Virtual UDES
 Facultad de Ingenierías</v>
          </cell>
        </row>
        <row r="4">
          <cell r="D4" t="str">
            <v>Ingeniería de Software - Ingeniería Industrial - (Todos lo programas de Ingeniería)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zoomScale="80" zoomScaleNormal="80" workbookViewId="0">
      <selection activeCell="H14" sqref="H14"/>
    </sheetView>
  </sheetViews>
  <sheetFormatPr defaultColWidth="14.42578125" defaultRowHeight="15" customHeight="1"/>
  <cols>
    <col min="1" max="1" width="6.28515625" style="6" customWidth="1"/>
    <col min="2" max="2" width="12.7109375" style="6" customWidth="1"/>
    <col min="3" max="3" width="10.140625" style="6" customWidth="1"/>
    <col min="4" max="4" width="23.28515625" style="6" customWidth="1"/>
    <col min="5" max="5" width="27.5703125" style="6" customWidth="1"/>
    <col min="6" max="7" width="27.28515625" style="6" customWidth="1"/>
    <col min="8" max="9" width="25.5703125" style="6" customWidth="1"/>
    <col min="10" max="10" width="13" style="6" customWidth="1"/>
    <col min="11" max="11" width="22" style="6" customWidth="1"/>
    <col min="12" max="16384" width="14.42578125" style="6"/>
  </cols>
  <sheetData>
    <row r="1" spans="1:26" ht="14.25" customHeight="1">
      <c r="A1" s="3"/>
      <c r="B1" s="4"/>
      <c r="C1" s="4"/>
      <c r="D1" s="4"/>
      <c r="E1" s="4"/>
      <c r="F1" s="5"/>
      <c r="G1" s="5"/>
      <c r="H1" s="5"/>
      <c r="I1" s="5"/>
      <c r="J1" s="5"/>
      <c r="K1" s="5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72" customHeight="1">
      <c r="A2" s="3"/>
      <c r="B2" s="73"/>
      <c r="C2" s="103"/>
      <c r="D2" s="103"/>
      <c r="E2" s="103"/>
      <c r="F2" s="74" t="s">
        <v>0</v>
      </c>
      <c r="G2" s="74"/>
      <c r="H2" s="74"/>
      <c r="I2" s="74"/>
      <c r="J2" s="74"/>
      <c r="K2" s="90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>
      <c r="A3" s="3"/>
      <c r="B3" s="75"/>
      <c r="C3" s="75"/>
      <c r="D3" s="75"/>
      <c r="E3" s="75"/>
      <c r="F3" s="75"/>
      <c r="G3" s="75"/>
      <c r="H3" s="75"/>
      <c r="I3" s="75"/>
      <c r="J3" s="75"/>
      <c r="K3" s="75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2.5" customHeight="1">
      <c r="A4" s="3"/>
      <c r="B4" s="77" t="s">
        <v>1</v>
      </c>
      <c r="C4" s="104"/>
      <c r="D4" s="91" t="s">
        <v>2</v>
      </c>
      <c r="E4" s="105"/>
      <c r="F4" s="105"/>
      <c r="G4" s="105"/>
      <c r="H4" s="105"/>
      <c r="I4" s="105"/>
      <c r="J4" s="8" t="s">
        <v>3</v>
      </c>
      <c r="K4" s="9" t="s">
        <v>4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7" customHeight="1">
      <c r="A5" s="3"/>
      <c r="B5" s="72" t="s">
        <v>5</v>
      </c>
      <c r="C5" s="106"/>
      <c r="D5" s="67" t="s">
        <v>6</v>
      </c>
      <c r="E5" s="107"/>
      <c r="F5" s="107"/>
      <c r="G5" s="107"/>
      <c r="H5" s="107"/>
      <c r="I5" s="107"/>
      <c r="J5" s="10" t="s">
        <v>7</v>
      </c>
      <c r="K5" s="11">
        <v>3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6.9" customHeight="1">
      <c r="A6" s="3"/>
      <c r="B6" s="72" t="s">
        <v>8</v>
      </c>
      <c r="C6" s="106"/>
      <c r="D6" s="85" t="s">
        <v>9</v>
      </c>
      <c r="E6" s="86"/>
      <c r="F6" s="86"/>
      <c r="G6" s="86"/>
      <c r="H6" s="86"/>
      <c r="I6" s="87"/>
      <c r="J6" s="80" t="s">
        <v>10</v>
      </c>
      <c r="K6" s="88" t="s">
        <v>11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7.45" customHeight="1">
      <c r="A7" s="3"/>
      <c r="B7" s="66" t="s">
        <v>12</v>
      </c>
      <c r="C7" s="106"/>
      <c r="D7" s="89" t="s">
        <v>13</v>
      </c>
      <c r="E7" s="107"/>
      <c r="F7" s="107"/>
      <c r="G7" s="107"/>
      <c r="H7" s="107"/>
      <c r="I7" s="107"/>
      <c r="J7" s="80"/>
      <c r="K7" s="88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1.5" customHeight="1">
      <c r="A9" s="3"/>
      <c r="B9" s="79" t="s">
        <v>14</v>
      </c>
      <c r="C9" s="79"/>
      <c r="D9" s="79"/>
      <c r="E9" s="79"/>
      <c r="F9" s="79"/>
      <c r="G9" s="79"/>
      <c r="H9" s="79"/>
      <c r="I9" s="79"/>
      <c r="J9" s="79"/>
      <c r="K9" s="79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2.25" customHeight="1">
      <c r="A10" s="3"/>
      <c r="B10" s="80" t="s">
        <v>15</v>
      </c>
      <c r="C10" s="107"/>
      <c r="D10" s="80" t="s">
        <v>16</v>
      </c>
      <c r="E10" s="80" t="s">
        <v>17</v>
      </c>
      <c r="F10" s="107"/>
      <c r="G10" s="107"/>
      <c r="H10" s="107"/>
      <c r="I10" s="107"/>
      <c r="J10" s="81" t="s">
        <v>18</v>
      </c>
      <c r="K10" s="81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>
      <c r="A11" s="3"/>
      <c r="B11" s="107"/>
      <c r="C11" s="107"/>
      <c r="D11" s="107"/>
      <c r="E11" s="52" t="s">
        <v>19</v>
      </c>
      <c r="F11" s="82" t="s">
        <v>20</v>
      </c>
      <c r="G11" s="82"/>
      <c r="H11" s="82" t="s">
        <v>21</v>
      </c>
      <c r="I11" s="82"/>
      <c r="J11" s="81" t="s">
        <v>22</v>
      </c>
      <c r="K11" s="81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3"/>
      <c r="B12" s="107"/>
      <c r="C12" s="107"/>
      <c r="D12" s="107"/>
      <c r="E12" s="83" t="s">
        <v>23</v>
      </c>
      <c r="F12" s="107"/>
      <c r="G12" s="107"/>
      <c r="H12" s="84" t="s">
        <v>24</v>
      </c>
      <c r="I12" s="84"/>
      <c r="J12" s="81"/>
      <c r="K12" s="81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>
      <c r="A13" s="3"/>
      <c r="B13" s="107"/>
      <c r="C13" s="107"/>
      <c r="D13" s="107"/>
      <c r="E13" s="13" t="s">
        <v>25</v>
      </c>
      <c r="F13" s="13" t="s">
        <v>26</v>
      </c>
      <c r="G13" s="13" t="s">
        <v>27</v>
      </c>
      <c r="H13" s="13" t="s">
        <v>28</v>
      </c>
      <c r="I13" s="13" t="s">
        <v>29</v>
      </c>
      <c r="J13" s="81"/>
      <c r="K13" s="81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81.75" customHeight="1">
      <c r="A14" s="3"/>
      <c r="B14" s="54" t="s">
        <v>30</v>
      </c>
      <c r="C14" s="108"/>
      <c r="D14" s="14" t="s">
        <v>31</v>
      </c>
      <c r="E14" s="15" t="s">
        <v>32</v>
      </c>
      <c r="F14" s="15" t="s">
        <v>33</v>
      </c>
      <c r="G14" s="15" t="s">
        <v>34</v>
      </c>
      <c r="H14" s="14" t="s">
        <v>31</v>
      </c>
      <c r="I14" s="15" t="s">
        <v>35</v>
      </c>
      <c r="J14" s="78"/>
      <c r="K14" s="78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87.75" customHeight="1">
      <c r="A15" s="3"/>
      <c r="B15" s="57" t="s">
        <v>36</v>
      </c>
      <c r="C15" s="109"/>
      <c r="D15" s="16" t="s">
        <v>37</v>
      </c>
      <c r="E15" s="1" t="s">
        <v>38</v>
      </c>
      <c r="F15" s="1" t="s">
        <v>39</v>
      </c>
      <c r="G15" s="1" t="s">
        <v>40</v>
      </c>
      <c r="H15" s="16" t="s">
        <v>37</v>
      </c>
      <c r="I15" s="15" t="s">
        <v>41</v>
      </c>
      <c r="J15" s="56"/>
      <c r="K15" s="56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96" customHeight="1">
      <c r="A16" s="3"/>
      <c r="B16" s="57" t="s">
        <v>42</v>
      </c>
      <c r="C16" s="109"/>
      <c r="D16" s="16" t="s">
        <v>43</v>
      </c>
      <c r="E16" s="46" t="s">
        <v>44</v>
      </c>
      <c r="F16" s="1" t="s">
        <v>45</v>
      </c>
      <c r="G16" s="46" t="s">
        <v>46</v>
      </c>
      <c r="H16" s="16" t="s">
        <v>43</v>
      </c>
      <c r="I16" s="45" t="s">
        <v>47</v>
      </c>
      <c r="J16" s="56"/>
      <c r="K16" s="56"/>
      <c r="L16" s="17"/>
      <c r="M16" s="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3"/>
      <c r="B17" s="18"/>
      <c r="C17" s="18"/>
      <c r="D17" s="19"/>
      <c r="E17" s="19"/>
      <c r="F17" s="19"/>
      <c r="G17" s="19"/>
      <c r="H17" s="19"/>
      <c r="I17" s="19"/>
      <c r="J17" s="20"/>
      <c r="K17" s="20"/>
      <c r="L17" s="3"/>
      <c r="M17" s="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3" customHeight="1">
      <c r="A18" s="3"/>
      <c r="B18" s="53" t="s">
        <v>48</v>
      </c>
      <c r="C18" s="53"/>
      <c r="D18" s="53"/>
      <c r="E18" s="53"/>
      <c r="F18" s="53"/>
      <c r="G18" s="53"/>
      <c r="H18" s="53"/>
      <c r="I18" s="53"/>
      <c r="J18" s="53"/>
      <c r="K18" s="53"/>
      <c r="L18" s="21"/>
      <c r="M18" s="21"/>
      <c r="N18" s="21"/>
      <c r="O18" s="21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0.25" customHeight="1">
      <c r="A19" s="19"/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1"/>
      <c r="M19" s="21"/>
      <c r="N19" s="21"/>
      <c r="O19" s="21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A20" s="3"/>
      <c r="B20" s="3"/>
      <c r="C20" s="3"/>
      <c r="D20" s="3"/>
      <c r="E20" s="3"/>
      <c r="F20" s="3"/>
      <c r="G20" s="3"/>
      <c r="H20" s="23"/>
      <c r="I20" s="23"/>
      <c r="J20" s="23"/>
      <c r="K20" s="23"/>
      <c r="L20" s="3"/>
      <c r="M20" s="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3"/>
      <c r="B21"/>
      <c r="C21" s="3"/>
      <c r="D21" s="3"/>
      <c r="E21" s="3"/>
      <c r="F21" s="3"/>
      <c r="G21" s="3"/>
      <c r="H21" s="23"/>
      <c r="I21" s="23"/>
      <c r="J21" s="23"/>
      <c r="K21" s="23"/>
      <c r="L21" s="3"/>
      <c r="M21" s="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/>
      <c r="B22" s="3"/>
      <c r="C22" s="3"/>
      <c r="D22" s="3"/>
      <c r="E22" s="3"/>
      <c r="F22" s="3"/>
      <c r="G22" s="3"/>
      <c r="H22" s="24"/>
      <c r="I22" s="24"/>
      <c r="J22" s="24"/>
      <c r="K22" s="24"/>
      <c r="L22" s="3"/>
      <c r="M22" s="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3"/>
      <c r="B23" s="3"/>
      <c r="C23" s="3"/>
      <c r="D23" s="3"/>
      <c r="E23" s="3"/>
      <c r="F23" s="3"/>
      <c r="G23" s="3"/>
      <c r="H23" s="24"/>
      <c r="I23" s="24"/>
      <c r="J23" s="24"/>
      <c r="K23" s="24"/>
      <c r="L23" s="3"/>
      <c r="M23" s="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3"/>
      <c r="B24" s="3"/>
      <c r="C24" s="3"/>
      <c r="D24" s="3"/>
      <c r="E24" s="3"/>
      <c r="F24" s="3"/>
      <c r="G24" s="3"/>
      <c r="H24" s="24"/>
      <c r="I24" s="24"/>
      <c r="J24" s="24"/>
      <c r="K24" s="24"/>
      <c r="L24" s="3"/>
      <c r="M24" s="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3"/>
      <c r="B25" s="3"/>
      <c r="C25" s="3"/>
      <c r="D25" s="3"/>
      <c r="E25" s="3"/>
      <c r="F25" s="3"/>
      <c r="G25" s="3"/>
      <c r="H25" s="24"/>
      <c r="I25" s="24"/>
      <c r="J25" s="24"/>
      <c r="K25" s="24"/>
      <c r="L25" s="3"/>
      <c r="M25" s="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/>
      <c r="B26" s="3"/>
      <c r="C26" s="3"/>
      <c r="D26" s="3"/>
      <c r="E26" s="3"/>
      <c r="F26" s="3"/>
      <c r="G26" s="3"/>
      <c r="H26" s="24"/>
      <c r="I26" s="24"/>
      <c r="J26" s="24"/>
      <c r="K26" s="24"/>
      <c r="L26" s="3"/>
      <c r="M26" s="3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/>
      <c r="B27" s="3"/>
      <c r="C27" s="3"/>
      <c r="D27" s="3"/>
      <c r="E27" s="3"/>
      <c r="F27" s="3"/>
      <c r="G27" s="3"/>
      <c r="H27" s="24"/>
      <c r="I27" s="24"/>
      <c r="J27" s="24"/>
      <c r="K27" s="24"/>
      <c r="L27" s="3"/>
      <c r="M27" s="3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/>
      <c r="B28" s="3"/>
      <c r="C28" s="3"/>
      <c r="D28" s="3"/>
      <c r="E28" s="3"/>
      <c r="F28" s="3"/>
      <c r="G28" s="3"/>
      <c r="H28" s="24"/>
      <c r="I28" s="24"/>
      <c r="J28" s="24"/>
      <c r="K28" s="24"/>
      <c r="L28" s="3"/>
      <c r="M28" s="3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/>
      <c r="B29" s="3"/>
      <c r="C29" s="3"/>
      <c r="D29" s="3"/>
      <c r="E29" s="3"/>
      <c r="F29" s="3"/>
      <c r="G29" s="3"/>
      <c r="H29" s="24"/>
      <c r="I29" s="24"/>
      <c r="J29" s="24"/>
      <c r="K29" s="24"/>
      <c r="L29" s="3"/>
      <c r="M29" s="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/>
      <c r="B30" s="3"/>
      <c r="C30" s="3"/>
      <c r="D30" s="3"/>
      <c r="E30" s="3"/>
      <c r="F30" s="3"/>
      <c r="G30" s="3"/>
      <c r="H30" s="24"/>
      <c r="I30" s="24"/>
      <c r="J30" s="24"/>
      <c r="K30" s="24"/>
      <c r="L30" s="3"/>
      <c r="M30" s="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/>
      <c r="B31" s="3"/>
      <c r="C31" s="3"/>
      <c r="D31" s="3"/>
      <c r="E31" s="3"/>
      <c r="F31" s="3"/>
      <c r="G31" s="3"/>
      <c r="H31" s="24"/>
      <c r="I31" s="24"/>
      <c r="J31" s="24"/>
      <c r="K31" s="24"/>
      <c r="L31" s="3"/>
      <c r="M31" s="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/>
      <c r="B32" s="3"/>
      <c r="C32" s="3"/>
      <c r="D32" s="3"/>
      <c r="E32" s="3"/>
      <c r="F32" s="3"/>
      <c r="G32" s="3"/>
      <c r="H32" s="24"/>
      <c r="I32" s="24"/>
      <c r="J32" s="24"/>
      <c r="K32" s="24"/>
      <c r="L32" s="3"/>
      <c r="M32" s="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/>
      <c r="B33" s="3"/>
      <c r="C33" s="3"/>
      <c r="D33" s="3"/>
      <c r="E33" s="3"/>
      <c r="F33" s="3"/>
      <c r="G33" s="3"/>
      <c r="H33" s="24"/>
      <c r="I33" s="24"/>
      <c r="J33" s="24"/>
      <c r="K33" s="24"/>
      <c r="L33" s="3"/>
      <c r="M33" s="3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3"/>
      <c r="B34" s="3"/>
      <c r="C34" s="3"/>
      <c r="D34" s="3"/>
      <c r="E34" s="3"/>
      <c r="F34" s="3"/>
      <c r="G34" s="3"/>
      <c r="H34" s="24"/>
      <c r="I34" s="24"/>
      <c r="J34" s="24"/>
      <c r="K34" s="24"/>
      <c r="L34" s="3"/>
      <c r="M34" s="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3"/>
      <c r="B35" s="3"/>
      <c r="C35" s="3"/>
      <c r="D35" s="3"/>
      <c r="E35" s="3"/>
      <c r="F35" s="3"/>
      <c r="G35" s="3"/>
      <c r="H35" s="24"/>
      <c r="I35" s="24"/>
      <c r="J35" s="24"/>
      <c r="K35" s="24"/>
      <c r="L35" s="3"/>
      <c r="M35" s="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3"/>
      <c r="B36" s="3"/>
      <c r="C36" s="3"/>
      <c r="D36" s="3"/>
      <c r="E36" s="3"/>
      <c r="F36" s="3"/>
      <c r="G36" s="3"/>
      <c r="H36" s="24"/>
      <c r="I36" s="24"/>
      <c r="J36" s="24"/>
      <c r="K36" s="24"/>
      <c r="L36" s="3"/>
      <c r="M36" s="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3"/>
      <c r="B37" s="3"/>
      <c r="C37" s="3"/>
      <c r="D37" s="3"/>
      <c r="E37" s="3"/>
      <c r="F37" s="3"/>
      <c r="G37" s="3"/>
      <c r="H37" s="24"/>
      <c r="I37" s="24"/>
      <c r="J37" s="24"/>
      <c r="K37" s="24"/>
      <c r="L37" s="3"/>
      <c r="M37" s="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3"/>
      <c r="B38" s="3"/>
      <c r="C38" s="3"/>
      <c r="D38" s="3"/>
      <c r="E38" s="3"/>
      <c r="F38" s="3"/>
      <c r="G38" s="3"/>
      <c r="H38" s="24"/>
      <c r="I38" s="24"/>
      <c r="J38" s="24"/>
      <c r="K38" s="24"/>
      <c r="L38" s="3"/>
      <c r="M38" s="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3"/>
      <c r="B39" s="3"/>
      <c r="C39" s="3"/>
      <c r="D39" s="3"/>
      <c r="E39" s="3"/>
      <c r="F39" s="3"/>
      <c r="G39" s="3"/>
      <c r="H39" s="24"/>
      <c r="I39" s="24"/>
      <c r="J39" s="24"/>
      <c r="K39" s="24"/>
      <c r="L39" s="3"/>
      <c r="M39" s="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3"/>
      <c r="B40" s="3"/>
      <c r="C40" s="3"/>
      <c r="D40" s="3"/>
      <c r="E40" s="3"/>
      <c r="F40" s="3"/>
      <c r="G40" s="3"/>
      <c r="H40" s="24"/>
      <c r="I40" s="24"/>
      <c r="J40" s="24"/>
      <c r="K40" s="24"/>
      <c r="L40" s="3"/>
      <c r="M40" s="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3"/>
      <c r="B41" s="3"/>
      <c r="C41" s="3"/>
      <c r="D41" s="3"/>
      <c r="E41" s="3"/>
      <c r="F41" s="3"/>
      <c r="G41" s="3"/>
      <c r="H41" s="24"/>
      <c r="I41" s="24"/>
      <c r="J41" s="24"/>
      <c r="K41" s="24"/>
      <c r="L41" s="3"/>
      <c r="M41" s="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3"/>
      <c r="B42" s="3"/>
      <c r="C42" s="3"/>
      <c r="D42" s="3"/>
      <c r="E42" s="3"/>
      <c r="F42" s="3"/>
      <c r="G42" s="3"/>
      <c r="H42" s="24"/>
      <c r="I42" s="24"/>
      <c r="J42" s="24"/>
      <c r="K42" s="24"/>
      <c r="L42" s="3"/>
      <c r="M42" s="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3"/>
      <c r="B43" s="3"/>
      <c r="C43" s="3"/>
      <c r="D43" s="3"/>
      <c r="E43" s="3"/>
      <c r="F43" s="3"/>
      <c r="G43" s="3"/>
      <c r="H43" s="24"/>
      <c r="I43" s="24"/>
      <c r="J43" s="24"/>
      <c r="K43" s="24"/>
      <c r="L43" s="3"/>
      <c r="M43" s="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3"/>
      <c r="B44" s="3"/>
      <c r="C44" s="3"/>
      <c r="D44" s="3"/>
      <c r="E44" s="3"/>
      <c r="F44" s="3"/>
      <c r="G44" s="3"/>
      <c r="H44" s="24"/>
      <c r="I44" s="24"/>
      <c r="J44" s="24"/>
      <c r="K44" s="24"/>
      <c r="L44" s="3"/>
      <c r="M44" s="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3"/>
      <c r="B45" s="3"/>
      <c r="C45" s="3"/>
      <c r="D45" s="3"/>
      <c r="E45" s="3"/>
      <c r="F45" s="3"/>
      <c r="G45" s="3"/>
      <c r="H45" s="24"/>
      <c r="I45" s="24"/>
      <c r="J45" s="24"/>
      <c r="K45" s="24"/>
      <c r="L45" s="3"/>
      <c r="M45" s="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3"/>
      <c r="B46" s="3"/>
      <c r="C46" s="3"/>
      <c r="D46" s="3"/>
      <c r="E46" s="3"/>
      <c r="F46" s="3"/>
      <c r="G46" s="3"/>
      <c r="H46" s="24"/>
      <c r="I46" s="24"/>
      <c r="J46" s="24"/>
      <c r="K46" s="24"/>
      <c r="L46" s="3"/>
      <c r="M46" s="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3"/>
      <c r="B47" s="3"/>
      <c r="C47" s="3"/>
      <c r="D47" s="3"/>
      <c r="E47" s="3"/>
      <c r="F47" s="3"/>
      <c r="G47" s="3"/>
      <c r="H47" s="24"/>
      <c r="I47" s="24"/>
      <c r="J47" s="24"/>
      <c r="K47" s="24"/>
      <c r="L47" s="3"/>
      <c r="M47" s="3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"/>
      <c r="B48" s="3"/>
      <c r="C48" s="3"/>
      <c r="D48" s="3"/>
      <c r="E48" s="3"/>
      <c r="F48" s="3"/>
      <c r="G48" s="3"/>
      <c r="H48" s="24"/>
      <c r="I48" s="24"/>
      <c r="J48" s="24"/>
      <c r="K48" s="24"/>
      <c r="L48" s="3"/>
      <c r="M48" s="3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3"/>
      <c r="B49" s="3"/>
      <c r="C49" s="3"/>
      <c r="D49" s="3"/>
      <c r="E49" s="3"/>
      <c r="F49" s="3"/>
      <c r="G49" s="3"/>
      <c r="H49" s="24"/>
      <c r="I49" s="24"/>
      <c r="J49" s="24"/>
      <c r="K49" s="24"/>
      <c r="L49" s="3"/>
      <c r="M49" s="3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/>
      <c r="B50" s="3"/>
      <c r="C50" s="3"/>
      <c r="D50" s="3"/>
      <c r="E50" s="3"/>
      <c r="F50" s="3"/>
      <c r="G50" s="3"/>
      <c r="H50" s="24"/>
      <c r="I50" s="24"/>
      <c r="J50" s="24"/>
      <c r="K50" s="24"/>
      <c r="L50" s="3"/>
      <c r="M50" s="3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/>
      <c r="B51" s="3"/>
      <c r="C51" s="3"/>
      <c r="D51" s="3"/>
      <c r="E51" s="3"/>
      <c r="F51" s="3"/>
      <c r="G51" s="3"/>
      <c r="H51" s="24"/>
      <c r="I51" s="24"/>
      <c r="J51" s="24"/>
      <c r="K51" s="24"/>
      <c r="L51" s="3"/>
      <c r="M51" s="3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3"/>
      <c r="B52" s="3"/>
      <c r="C52" s="3"/>
      <c r="D52" s="3"/>
      <c r="E52" s="3"/>
      <c r="F52" s="3"/>
      <c r="G52" s="3"/>
      <c r="H52" s="24"/>
      <c r="I52" s="24"/>
      <c r="J52" s="24"/>
      <c r="K52" s="24"/>
      <c r="L52" s="3"/>
      <c r="M52" s="3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3"/>
      <c r="B53" s="3"/>
      <c r="C53" s="3"/>
      <c r="D53" s="3"/>
      <c r="E53" s="3"/>
      <c r="F53" s="3"/>
      <c r="G53" s="3"/>
      <c r="H53" s="24"/>
      <c r="I53" s="24"/>
      <c r="J53" s="24"/>
      <c r="K53" s="24"/>
      <c r="L53" s="3"/>
      <c r="M53" s="3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/>
      <c r="B54" s="3"/>
      <c r="C54" s="3"/>
      <c r="D54" s="3"/>
      <c r="E54" s="3"/>
      <c r="F54" s="3"/>
      <c r="G54" s="3"/>
      <c r="H54" s="24"/>
      <c r="I54" s="24"/>
      <c r="J54" s="24"/>
      <c r="K54" s="24"/>
      <c r="L54" s="3"/>
      <c r="M54" s="3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/>
      <c r="B55" s="3"/>
      <c r="C55" s="3"/>
      <c r="D55" s="3"/>
      <c r="E55" s="3"/>
      <c r="F55" s="3"/>
      <c r="G55" s="3"/>
      <c r="H55" s="24"/>
      <c r="I55" s="24"/>
      <c r="J55" s="24"/>
      <c r="K55" s="24"/>
      <c r="L55" s="3"/>
      <c r="M55" s="3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/>
      <c r="B56" s="3"/>
      <c r="C56" s="3"/>
      <c r="D56" s="3"/>
      <c r="E56" s="3"/>
      <c r="F56" s="3"/>
      <c r="G56" s="3"/>
      <c r="H56" s="24"/>
      <c r="I56" s="24"/>
      <c r="J56" s="24"/>
      <c r="K56" s="24"/>
      <c r="L56" s="3"/>
      <c r="M56" s="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/>
      <c r="B57" s="3"/>
      <c r="C57" s="3"/>
      <c r="D57" s="3"/>
      <c r="E57" s="3"/>
      <c r="F57" s="3"/>
      <c r="G57" s="3"/>
      <c r="H57" s="24"/>
      <c r="I57" s="24"/>
      <c r="J57" s="24"/>
      <c r="K57" s="24"/>
      <c r="L57" s="3"/>
      <c r="M57" s="3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/>
      <c r="B58" s="3"/>
      <c r="C58" s="3"/>
      <c r="D58" s="3"/>
      <c r="E58" s="3"/>
      <c r="F58" s="3"/>
      <c r="G58" s="3"/>
      <c r="H58" s="24"/>
      <c r="I58" s="24"/>
      <c r="J58" s="24"/>
      <c r="K58" s="24"/>
      <c r="L58" s="3"/>
      <c r="M58" s="3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/>
      <c r="B59" s="3"/>
      <c r="C59" s="3"/>
      <c r="D59" s="3"/>
      <c r="E59" s="3"/>
      <c r="F59" s="3"/>
      <c r="G59" s="3"/>
      <c r="H59" s="24"/>
      <c r="I59" s="24"/>
      <c r="J59" s="24"/>
      <c r="K59" s="24"/>
      <c r="L59" s="3"/>
      <c r="M59" s="3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/>
      <c r="B60" s="3"/>
      <c r="C60" s="3"/>
      <c r="D60" s="3"/>
      <c r="E60" s="3"/>
      <c r="F60" s="3"/>
      <c r="G60" s="3"/>
      <c r="H60" s="24"/>
      <c r="I60" s="24"/>
      <c r="J60" s="24"/>
      <c r="K60" s="24"/>
      <c r="L60" s="3"/>
      <c r="M60" s="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/>
      <c r="B61" s="3"/>
      <c r="C61" s="3"/>
      <c r="D61" s="3"/>
      <c r="E61" s="3"/>
      <c r="F61" s="3"/>
      <c r="G61" s="3"/>
      <c r="H61" s="24"/>
      <c r="I61" s="24"/>
      <c r="J61" s="24"/>
      <c r="K61" s="24"/>
      <c r="L61" s="3"/>
      <c r="M61" s="3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/>
      <c r="B62" s="3"/>
      <c r="C62" s="3"/>
      <c r="D62" s="3"/>
      <c r="E62" s="3"/>
      <c r="F62" s="3"/>
      <c r="G62" s="3"/>
      <c r="H62" s="24"/>
      <c r="I62" s="24"/>
      <c r="J62" s="24"/>
      <c r="K62" s="24"/>
      <c r="L62" s="3"/>
      <c r="M62" s="3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/>
      <c r="B63" s="3"/>
      <c r="C63" s="3"/>
      <c r="D63" s="3"/>
      <c r="E63" s="3"/>
      <c r="F63" s="3"/>
      <c r="G63" s="3"/>
      <c r="H63" s="24"/>
      <c r="I63" s="24"/>
      <c r="J63" s="24"/>
      <c r="K63" s="24"/>
      <c r="L63" s="3"/>
      <c r="M63" s="3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/>
      <c r="B64" s="3"/>
      <c r="C64" s="3"/>
      <c r="D64" s="3"/>
      <c r="E64" s="3"/>
      <c r="F64" s="3"/>
      <c r="G64" s="3"/>
      <c r="H64" s="24"/>
      <c r="I64" s="24"/>
      <c r="J64" s="24"/>
      <c r="K64" s="24"/>
      <c r="L64" s="3"/>
      <c r="M64" s="3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/>
      <c r="B65" s="3"/>
      <c r="C65" s="3"/>
      <c r="D65" s="3"/>
      <c r="E65" s="3"/>
      <c r="F65" s="3"/>
      <c r="G65" s="3"/>
      <c r="H65" s="24"/>
      <c r="I65" s="24"/>
      <c r="J65" s="24"/>
      <c r="K65" s="24"/>
      <c r="L65" s="3"/>
      <c r="M65" s="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/>
      <c r="B66" s="3"/>
      <c r="C66" s="3"/>
      <c r="D66" s="3"/>
      <c r="E66" s="3"/>
      <c r="F66" s="3"/>
      <c r="G66" s="3"/>
      <c r="H66" s="24"/>
      <c r="I66" s="24"/>
      <c r="J66" s="24"/>
      <c r="K66" s="24"/>
      <c r="L66" s="3"/>
      <c r="M66" s="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/>
      <c r="B67" s="3"/>
      <c r="C67" s="3"/>
      <c r="D67" s="3"/>
      <c r="E67" s="3"/>
      <c r="F67" s="3"/>
      <c r="G67" s="3"/>
      <c r="H67" s="24"/>
      <c r="I67" s="24"/>
      <c r="J67" s="24"/>
      <c r="K67" s="24"/>
      <c r="L67" s="3"/>
      <c r="M67" s="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3"/>
      <c r="B68" s="3"/>
      <c r="C68" s="3"/>
      <c r="D68" s="3"/>
      <c r="E68" s="3"/>
      <c r="F68" s="3"/>
      <c r="G68" s="3"/>
      <c r="H68" s="24"/>
      <c r="I68" s="24"/>
      <c r="J68" s="24"/>
      <c r="K68" s="24"/>
      <c r="L68" s="3"/>
      <c r="M68" s="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3"/>
      <c r="B69" s="3"/>
      <c r="C69" s="3"/>
      <c r="D69" s="3"/>
      <c r="E69" s="3"/>
      <c r="F69" s="3"/>
      <c r="G69" s="3"/>
      <c r="H69" s="24"/>
      <c r="I69" s="24"/>
      <c r="J69" s="24"/>
      <c r="K69" s="24"/>
      <c r="L69" s="3"/>
      <c r="M69" s="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3"/>
      <c r="B70" s="3"/>
      <c r="C70" s="3"/>
      <c r="D70" s="3"/>
      <c r="E70" s="3"/>
      <c r="F70" s="3"/>
      <c r="G70" s="3"/>
      <c r="H70" s="24"/>
      <c r="I70" s="24"/>
      <c r="J70" s="24"/>
      <c r="K70" s="24"/>
      <c r="L70" s="3"/>
      <c r="M70" s="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3"/>
      <c r="B71" s="3"/>
      <c r="C71" s="3"/>
      <c r="D71" s="3"/>
      <c r="E71" s="3"/>
      <c r="F71" s="3"/>
      <c r="G71" s="3"/>
      <c r="H71" s="24"/>
      <c r="I71" s="24"/>
      <c r="J71" s="24"/>
      <c r="K71" s="24"/>
      <c r="L71" s="3"/>
      <c r="M71" s="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3"/>
      <c r="B72" s="3"/>
      <c r="C72" s="3"/>
      <c r="D72" s="3"/>
      <c r="E72" s="3"/>
      <c r="F72" s="3"/>
      <c r="G72" s="3"/>
      <c r="H72" s="24"/>
      <c r="I72" s="24"/>
      <c r="J72" s="24"/>
      <c r="K72" s="24"/>
      <c r="L72" s="3"/>
      <c r="M72" s="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3"/>
      <c r="B73" s="3"/>
      <c r="C73" s="3"/>
      <c r="D73" s="3"/>
      <c r="E73" s="3"/>
      <c r="F73" s="3"/>
      <c r="G73" s="3"/>
      <c r="H73" s="24"/>
      <c r="I73" s="24"/>
      <c r="J73" s="24"/>
      <c r="K73" s="24"/>
      <c r="L73" s="3"/>
      <c r="M73" s="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3"/>
      <c r="B74" s="3"/>
      <c r="C74" s="3"/>
      <c r="D74" s="3"/>
      <c r="E74" s="3"/>
      <c r="F74" s="3"/>
      <c r="G74" s="3"/>
      <c r="H74" s="24"/>
      <c r="I74" s="24"/>
      <c r="J74" s="24"/>
      <c r="K74" s="24"/>
      <c r="L74" s="3"/>
      <c r="M74" s="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3"/>
      <c r="B75" s="3"/>
      <c r="C75" s="3"/>
      <c r="D75" s="3"/>
      <c r="E75" s="3"/>
      <c r="F75" s="3"/>
      <c r="G75" s="3"/>
      <c r="H75" s="24"/>
      <c r="I75" s="24"/>
      <c r="J75" s="24"/>
      <c r="K75" s="24"/>
      <c r="L75" s="3"/>
      <c r="M75" s="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3"/>
      <c r="B76" s="3"/>
      <c r="C76" s="3"/>
      <c r="D76" s="3"/>
      <c r="E76" s="3"/>
      <c r="F76" s="3"/>
      <c r="G76" s="3"/>
      <c r="H76" s="24"/>
      <c r="I76" s="24"/>
      <c r="J76" s="24"/>
      <c r="K76" s="24"/>
      <c r="L76" s="3"/>
      <c r="M76" s="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3"/>
      <c r="B77" s="3"/>
      <c r="C77" s="3"/>
      <c r="D77" s="3"/>
      <c r="E77" s="3"/>
      <c r="F77" s="3"/>
      <c r="G77" s="3"/>
      <c r="H77" s="24"/>
      <c r="I77" s="24"/>
      <c r="J77" s="24"/>
      <c r="K77" s="24"/>
      <c r="L77" s="3"/>
      <c r="M77" s="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3"/>
      <c r="B78" s="3"/>
      <c r="C78" s="3"/>
      <c r="D78" s="3"/>
      <c r="E78" s="3"/>
      <c r="F78" s="3"/>
      <c r="G78" s="3"/>
      <c r="H78" s="24"/>
      <c r="I78" s="24"/>
      <c r="J78" s="24"/>
      <c r="K78" s="24"/>
      <c r="L78" s="3"/>
      <c r="M78" s="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3"/>
      <c r="B79" s="3"/>
      <c r="C79" s="3"/>
      <c r="D79" s="3"/>
      <c r="E79" s="3"/>
      <c r="F79" s="3"/>
      <c r="G79" s="3"/>
      <c r="H79" s="24"/>
      <c r="I79" s="24"/>
      <c r="J79" s="24"/>
      <c r="K79" s="24"/>
      <c r="L79" s="3"/>
      <c r="M79" s="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3"/>
      <c r="B80" s="3"/>
      <c r="C80" s="3"/>
      <c r="D80" s="3"/>
      <c r="E80" s="3"/>
      <c r="F80" s="3"/>
      <c r="G80" s="3"/>
      <c r="H80" s="24"/>
      <c r="I80" s="24"/>
      <c r="J80" s="24"/>
      <c r="K80" s="24"/>
      <c r="L80" s="3"/>
      <c r="M80" s="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3"/>
      <c r="B81" s="3"/>
      <c r="C81" s="3"/>
      <c r="D81" s="3"/>
      <c r="E81" s="3"/>
      <c r="F81" s="3"/>
      <c r="G81" s="3"/>
      <c r="H81" s="24"/>
      <c r="I81" s="24"/>
      <c r="J81" s="24"/>
      <c r="K81" s="24"/>
      <c r="L81" s="3"/>
      <c r="M81" s="3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3"/>
      <c r="B82" s="3"/>
      <c r="C82" s="3"/>
      <c r="D82" s="3"/>
      <c r="E82" s="3"/>
      <c r="F82" s="3"/>
      <c r="G82" s="3"/>
      <c r="H82" s="24"/>
      <c r="I82" s="24"/>
      <c r="J82" s="24"/>
      <c r="K82" s="24"/>
      <c r="L82" s="3"/>
      <c r="M82" s="3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3"/>
      <c r="B83" s="3"/>
      <c r="C83" s="3"/>
      <c r="D83" s="3"/>
      <c r="E83" s="3"/>
      <c r="F83" s="3"/>
      <c r="G83" s="3"/>
      <c r="H83" s="24"/>
      <c r="I83" s="24"/>
      <c r="J83" s="24"/>
      <c r="K83" s="24"/>
      <c r="L83" s="3"/>
      <c r="M83" s="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3"/>
      <c r="B84" s="3"/>
      <c r="C84" s="3"/>
      <c r="D84" s="3"/>
      <c r="E84" s="3"/>
      <c r="F84" s="3"/>
      <c r="G84" s="3"/>
      <c r="H84" s="24"/>
      <c r="I84" s="24"/>
      <c r="J84" s="24"/>
      <c r="K84" s="24"/>
      <c r="L84" s="3"/>
      <c r="M84" s="3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3"/>
      <c r="B85" s="3"/>
      <c r="C85" s="3"/>
      <c r="D85" s="3"/>
      <c r="E85" s="3"/>
      <c r="F85" s="3"/>
      <c r="G85" s="3"/>
      <c r="H85" s="24"/>
      <c r="I85" s="24"/>
      <c r="J85" s="24"/>
      <c r="K85" s="24"/>
      <c r="L85" s="3"/>
      <c r="M85" s="3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3"/>
      <c r="B86" s="3"/>
      <c r="C86" s="3"/>
      <c r="D86" s="3"/>
      <c r="E86" s="3"/>
      <c r="F86" s="3"/>
      <c r="G86" s="3"/>
      <c r="H86" s="24"/>
      <c r="I86" s="24"/>
      <c r="J86" s="24"/>
      <c r="K86" s="24"/>
      <c r="L86" s="3"/>
      <c r="M86" s="3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3"/>
      <c r="B87" s="3"/>
      <c r="C87" s="3"/>
      <c r="D87" s="3"/>
      <c r="E87" s="3"/>
      <c r="F87" s="3"/>
      <c r="G87" s="3"/>
      <c r="H87" s="24"/>
      <c r="I87" s="24"/>
      <c r="J87" s="24"/>
      <c r="K87" s="24"/>
      <c r="L87" s="3"/>
      <c r="M87" s="3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3"/>
      <c r="B88" s="3"/>
      <c r="C88" s="3"/>
      <c r="D88" s="3"/>
      <c r="E88" s="3"/>
      <c r="F88" s="3"/>
      <c r="G88" s="3"/>
      <c r="H88" s="24"/>
      <c r="I88" s="24"/>
      <c r="J88" s="24"/>
      <c r="K88" s="24"/>
      <c r="L88" s="3"/>
      <c r="M88" s="3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3"/>
      <c r="B89" s="3"/>
      <c r="C89" s="3"/>
      <c r="D89" s="3"/>
      <c r="E89" s="3"/>
      <c r="F89" s="3"/>
      <c r="G89" s="3"/>
      <c r="H89" s="24"/>
      <c r="I89" s="24"/>
      <c r="J89" s="24"/>
      <c r="K89" s="24"/>
      <c r="L89" s="3"/>
      <c r="M89" s="3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3"/>
      <c r="B90" s="3"/>
      <c r="C90" s="3"/>
      <c r="D90" s="3"/>
      <c r="E90" s="3"/>
      <c r="F90" s="3"/>
      <c r="G90" s="3"/>
      <c r="H90" s="24"/>
      <c r="I90" s="24"/>
      <c r="J90" s="24"/>
      <c r="K90" s="24"/>
      <c r="L90" s="3"/>
      <c r="M90" s="3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3"/>
      <c r="B91" s="3"/>
      <c r="C91" s="3"/>
      <c r="D91" s="3"/>
      <c r="E91" s="3"/>
      <c r="F91" s="3"/>
      <c r="G91" s="3"/>
      <c r="H91" s="24"/>
      <c r="I91" s="24"/>
      <c r="J91" s="24"/>
      <c r="K91" s="24"/>
      <c r="L91" s="3"/>
      <c r="M91" s="3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3"/>
      <c r="B92" s="3"/>
      <c r="C92" s="3"/>
      <c r="D92" s="3"/>
      <c r="E92" s="3"/>
      <c r="F92" s="3"/>
      <c r="G92" s="3"/>
      <c r="H92" s="24"/>
      <c r="I92" s="24"/>
      <c r="J92" s="24"/>
      <c r="K92" s="24"/>
      <c r="L92" s="3"/>
      <c r="M92" s="3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3"/>
      <c r="B93" s="3"/>
      <c r="C93" s="3"/>
      <c r="D93" s="3"/>
      <c r="E93" s="3"/>
      <c r="F93" s="3"/>
      <c r="G93" s="3"/>
      <c r="H93" s="24"/>
      <c r="I93" s="24"/>
      <c r="J93" s="24"/>
      <c r="K93" s="24"/>
      <c r="L93" s="3"/>
      <c r="M93" s="3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3"/>
      <c r="B94" s="3"/>
      <c r="C94" s="3"/>
      <c r="D94" s="3"/>
      <c r="E94" s="3"/>
      <c r="F94" s="3"/>
      <c r="G94" s="3"/>
      <c r="H94" s="24"/>
      <c r="I94" s="24"/>
      <c r="J94" s="24"/>
      <c r="K94" s="24"/>
      <c r="L94" s="3"/>
      <c r="M94" s="3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/>
      <c r="B95" s="3"/>
      <c r="C95" s="3"/>
      <c r="D95" s="3"/>
      <c r="E95" s="3"/>
      <c r="F95" s="3"/>
      <c r="G95" s="3"/>
      <c r="H95" s="24"/>
      <c r="I95" s="24"/>
      <c r="J95" s="24"/>
      <c r="K95" s="24"/>
      <c r="L95" s="3"/>
      <c r="M95" s="3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/>
      <c r="B96" s="3"/>
      <c r="C96" s="3"/>
      <c r="D96" s="3"/>
      <c r="E96" s="3"/>
      <c r="F96" s="3"/>
      <c r="G96" s="3"/>
      <c r="H96" s="24"/>
      <c r="I96" s="24"/>
      <c r="J96" s="24"/>
      <c r="K96" s="24"/>
      <c r="L96" s="3"/>
      <c r="M96" s="3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/>
      <c r="B97" s="3"/>
      <c r="C97" s="3"/>
      <c r="D97" s="3"/>
      <c r="E97" s="3"/>
      <c r="F97" s="3"/>
      <c r="G97" s="3"/>
      <c r="H97" s="24"/>
      <c r="I97" s="24"/>
      <c r="J97" s="24"/>
      <c r="K97" s="24"/>
      <c r="L97" s="3"/>
      <c r="M97" s="3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/>
      <c r="B98" s="3"/>
      <c r="C98" s="3"/>
      <c r="D98" s="3"/>
      <c r="E98" s="3"/>
      <c r="F98" s="3"/>
      <c r="G98" s="3"/>
      <c r="H98" s="24"/>
      <c r="I98" s="24"/>
      <c r="J98" s="24"/>
      <c r="K98" s="24"/>
      <c r="L98" s="3"/>
      <c r="M98" s="3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/>
      <c r="B99" s="3"/>
      <c r="C99" s="3"/>
      <c r="D99" s="3"/>
      <c r="E99" s="3"/>
      <c r="F99" s="3"/>
      <c r="G99" s="3"/>
      <c r="H99" s="24"/>
      <c r="I99" s="24"/>
      <c r="J99" s="24"/>
      <c r="K99" s="24"/>
      <c r="L99" s="3"/>
      <c r="M99" s="3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/>
      <c r="B100" s="3"/>
      <c r="C100" s="3"/>
      <c r="D100" s="3"/>
      <c r="E100" s="3"/>
      <c r="F100" s="3"/>
      <c r="G100" s="3"/>
      <c r="H100" s="24"/>
      <c r="I100" s="24"/>
      <c r="J100" s="24"/>
      <c r="K100" s="24"/>
      <c r="L100" s="3"/>
      <c r="M100" s="3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/>
      <c r="B101" s="3"/>
      <c r="C101" s="3"/>
      <c r="D101" s="3"/>
      <c r="E101" s="3"/>
      <c r="F101" s="3"/>
      <c r="G101" s="3"/>
      <c r="H101" s="24"/>
      <c r="I101" s="24"/>
      <c r="J101" s="24"/>
      <c r="K101" s="24"/>
      <c r="L101" s="3"/>
      <c r="M101" s="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/>
      <c r="B102" s="3"/>
      <c r="C102" s="3"/>
      <c r="D102" s="3"/>
      <c r="E102" s="3"/>
      <c r="F102" s="3"/>
      <c r="G102" s="3"/>
      <c r="H102" s="24"/>
      <c r="I102" s="24"/>
      <c r="J102" s="24"/>
      <c r="K102" s="24"/>
      <c r="L102" s="3"/>
      <c r="M102" s="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3"/>
      <c r="B103" s="3"/>
      <c r="C103" s="3"/>
      <c r="D103" s="3"/>
      <c r="E103" s="3"/>
      <c r="F103" s="3"/>
      <c r="G103" s="3"/>
      <c r="H103" s="24"/>
      <c r="I103" s="24"/>
      <c r="J103" s="24"/>
      <c r="K103" s="24"/>
      <c r="L103" s="3"/>
      <c r="M103" s="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3"/>
      <c r="B104" s="3"/>
      <c r="C104" s="3"/>
      <c r="D104" s="3"/>
      <c r="E104" s="3"/>
      <c r="F104" s="3"/>
      <c r="G104" s="3"/>
      <c r="H104" s="24"/>
      <c r="I104" s="24"/>
      <c r="J104" s="24"/>
      <c r="K104" s="24"/>
      <c r="L104" s="3"/>
      <c r="M104" s="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3"/>
      <c r="B105" s="3"/>
      <c r="C105" s="3"/>
      <c r="D105" s="3"/>
      <c r="E105" s="3"/>
      <c r="F105" s="3"/>
      <c r="G105" s="3"/>
      <c r="H105" s="24"/>
      <c r="I105" s="24"/>
      <c r="J105" s="24"/>
      <c r="K105" s="24"/>
      <c r="L105" s="3"/>
      <c r="M105" s="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3"/>
      <c r="B106" s="3"/>
      <c r="C106" s="3"/>
      <c r="D106" s="3"/>
      <c r="E106" s="3"/>
      <c r="F106" s="3"/>
      <c r="G106" s="3"/>
      <c r="H106" s="24"/>
      <c r="I106" s="24"/>
      <c r="J106" s="24"/>
      <c r="K106" s="24"/>
      <c r="L106" s="3"/>
      <c r="M106" s="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3"/>
      <c r="B107" s="3"/>
      <c r="C107" s="3"/>
      <c r="D107" s="3"/>
      <c r="E107" s="3"/>
      <c r="F107" s="3"/>
      <c r="G107" s="3"/>
      <c r="H107" s="24"/>
      <c r="I107" s="24"/>
      <c r="J107" s="24"/>
      <c r="K107" s="24"/>
      <c r="L107" s="3"/>
      <c r="M107" s="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3"/>
      <c r="B108" s="3"/>
      <c r="C108" s="3"/>
      <c r="D108" s="3"/>
      <c r="E108" s="3"/>
      <c r="F108" s="3"/>
      <c r="G108" s="3"/>
      <c r="H108" s="24"/>
      <c r="I108" s="24"/>
      <c r="J108" s="24"/>
      <c r="K108" s="24"/>
      <c r="L108" s="3"/>
      <c r="M108" s="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3"/>
      <c r="B109" s="3"/>
      <c r="C109" s="3"/>
      <c r="D109" s="3"/>
      <c r="E109" s="3"/>
      <c r="F109" s="3"/>
      <c r="G109" s="3"/>
      <c r="H109" s="24"/>
      <c r="I109" s="24"/>
      <c r="J109" s="24"/>
      <c r="K109" s="24"/>
      <c r="L109" s="3"/>
      <c r="M109" s="3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3"/>
      <c r="B110" s="3"/>
      <c r="C110" s="3"/>
      <c r="D110" s="3"/>
      <c r="E110" s="3"/>
      <c r="F110" s="3"/>
      <c r="G110" s="3"/>
      <c r="H110" s="24"/>
      <c r="I110" s="24"/>
      <c r="J110" s="24"/>
      <c r="K110" s="24"/>
      <c r="L110" s="3"/>
      <c r="M110" s="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3"/>
      <c r="B111" s="3"/>
      <c r="C111" s="3"/>
      <c r="D111" s="3"/>
      <c r="E111" s="3"/>
      <c r="F111" s="3"/>
      <c r="G111" s="3"/>
      <c r="H111" s="24"/>
      <c r="I111" s="24"/>
      <c r="J111" s="24"/>
      <c r="K111" s="24"/>
      <c r="L111" s="3"/>
      <c r="M111" s="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3"/>
      <c r="B112" s="3"/>
      <c r="C112" s="3"/>
      <c r="D112" s="3"/>
      <c r="E112" s="3"/>
      <c r="F112" s="3"/>
      <c r="G112" s="3"/>
      <c r="H112" s="24"/>
      <c r="I112" s="24"/>
      <c r="J112" s="24"/>
      <c r="K112" s="24"/>
      <c r="L112" s="3"/>
      <c r="M112" s="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3"/>
      <c r="B113" s="3"/>
      <c r="C113" s="3"/>
      <c r="D113" s="3"/>
      <c r="E113" s="3"/>
      <c r="F113" s="3"/>
      <c r="G113" s="3"/>
      <c r="H113" s="24"/>
      <c r="I113" s="24"/>
      <c r="J113" s="24"/>
      <c r="K113" s="24"/>
      <c r="L113" s="3"/>
      <c r="M113" s="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3"/>
      <c r="B114" s="3"/>
      <c r="C114" s="3"/>
      <c r="D114" s="3"/>
      <c r="E114" s="3"/>
      <c r="F114" s="3"/>
      <c r="G114" s="3"/>
      <c r="H114" s="24"/>
      <c r="I114" s="24"/>
      <c r="J114" s="24"/>
      <c r="K114" s="24"/>
      <c r="L114" s="3"/>
      <c r="M114" s="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3"/>
      <c r="B115" s="3"/>
      <c r="C115" s="3"/>
      <c r="D115" s="3"/>
      <c r="E115" s="3"/>
      <c r="F115" s="3"/>
      <c r="G115" s="3"/>
      <c r="H115" s="24"/>
      <c r="I115" s="24"/>
      <c r="J115" s="24"/>
      <c r="K115" s="24"/>
      <c r="L115" s="3"/>
      <c r="M115" s="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3"/>
      <c r="B116" s="3"/>
      <c r="C116" s="3"/>
      <c r="D116" s="3"/>
      <c r="E116" s="3"/>
      <c r="F116" s="3"/>
      <c r="G116" s="3"/>
      <c r="H116" s="24"/>
      <c r="I116" s="24"/>
      <c r="J116" s="24"/>
      <c r="K116" s="24"/>
      <c r="L116" s="3"/>
      <c r="M116" s="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3"/>
      <c r="B117" s="3"/>
      <c r="C117" s="3"/>
      <c r="D117" s="3"/>
      <c r="E117" s="3"/>
      <c r="F117" s="3"/>
      <c r="G117" s="3"/>
      <c r="H117" s="24"/>
      <c r="I117" s="24"/>
      <c r="J117" s="24"/>
      <c r="K117" s="24"/>
      <c r="L117" s="3"/>
      <c r="M117" s="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3"/>
      <c r="B118" s="3"/>
      <c r="C118" s="3"/>
      <c r="D118" s="3"/>
      <c r="E118" s="3"/>
      <c r="F118" s="3"/>
      <c r="G118" s="3"/>
      <c r="H118" s="24"/>
      <c r="I118" s="24"/>
      <c r="J118" s="24"/>
      <c r="K118" s="24"/>
      <c r="L118" s="3"/>
      <c r="M118" s="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3"/>
      <c r="B119" s="3"/>
      <c r="C119" s="3"/>
      <c r="D119" s="3"/>
      <c r="E119" s="3"/>
      <c r="F119" s="3"/>
      <c r="G119" s="3"/>
      <c r="H119" s="24"/>
      <c r="I119" s="24"/>
      <c r="J119" s="24"/>
      <c r="K119" s="24"/>
      <c r="L119" s="3"/>
      <c r="M119" s="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3"/>
      <c r="B120" s="3"/>
      <c r="C120" s="3"/>
      <c r="D120" s="3"/>
      <c r="E120" s="3"/>
      <c r="F120" s="3"/>
      <c r="G120" s="3"/>
      <c r="H120" s="24"/>
      <c r="I120" s="24"/>
      <c r="J120" s="24"/>
      <c r="K120" s="24"/>
      <c r="L120" s="3"/>
      <c r="M120" s="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3"/>
      <c r="B121" s="3"/>
      <c r="C121" s="3"/>
      <c r="D121" s="3"/>
      <c r="E121" s="3"/>
      <c r="F121" s="3"/>
      <c r="G121" s="3"/>
      <c r="H121" s="24"/>
      <c r="I121" s="24"/>
      <c r="J121" s="24"/>
      <c r="K121" s="24"/>
      <c r="L121" s="3"/>
      <c r="M121" s="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3"/>
      <c r="B122" s="3"/>
      <c r="C122" s="3"/>
      <c r="D122" s="3"/>
      <c r="E122" s="3"/>
      <c r="F122" s="3"/>
      <c r="G122" s="3"/>
      <c r="H122" s="24"/>
      <c r="I122" s="24"/>
      <c r="J122" s="24"/>
      <c r="K122" s="24"/>
      <c r="L122" s="3"/>
      <c r="M122" s="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3"/>
      <c r="B123" s="3"/>
      <c r="C123" s="3"/>
      <c r="D123" s="3"/>
      <c r="E123" s="3"/>
      <c r="F123" s="3"/>
      <c r="G123" s="3"/>
      <c r="H123" s="24"/>
      <c r="I123" s="24"/>
      <c r="J123" s="24"/>
      <c r="K123" s="24"/>
      <c r="L123" s="3"/>
      <c r="M123" s="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3"/>
      <c r="B124" s="3"/>
      <c r="C124" s="3"/>
      <c r="D124" s="3"/>
      <c r="E124" s="3"/>
      <c r="F124" s="3"/>
      <c r="G124" s="3"/>
      <c r="H124" s="24"/>
      <c r="I124" s="24"/>
      <c r="J124" s="24"/>
      <c r="K124" s="24"/>
      <c r="L124" s="3"/>
      <c r="M124" s="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3"/>
      <c r="B125" s="3"/>
      <c r="C125" s="3"/>
      <c r="D125" s="3"/>
      <c r="E125" s="3"/>
      <c r="F125" s="3"/>
      <c r="G125" s="3"/>
      <c r="H125" s="24"/>
      <c r="I125" s="24"/>
      <c r="J125" s="24"/>
      <c r="K125" s="24"/>
      <c r="L125" s="3"/>
      <c r="M125" s="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3"/>
      <c r="B126" s="3"/>
      <c r="C126" s="3"/>
      <c r="D126" s="3"/>
      <c r="E126" s="3"/>
      <c r="F126" s="3"/>
      <c r="G126" s="3"/>
      <c r="H126" s="24"/>
      <c r="I126" s="24"/>
      <c r="J126" s="24"/>
      <c r="K126" s="24"/>
      <c r="L126" s="3"/>
      <c r="M126" s="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3"/>
      <c r="B127" s="3"/>
      <c r="C127" s="3"/>
      <c r="D127" s="3"/>
      <c r="E127" s="3"/>
      <c r="F127" s="3"/>
      <c r="G127" s="3"/>
      <c r="H127" s="24"/>
      <c r="I127" s="24"/>
      <c r="J127" s="24"/>
      <c r="K127" s="24"/>
      <c r="L127" s="3"/>
      <c r="M127" s="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3"/>
      <c r="B128" s="3"/>
      <c r="C128" s="3"/>
      <c r="D128" s="3"/>
      <c r="E128" s="3"/>
      <c r="F128" s="3"/>
      <c r="G128" s="3"/>
      <c r="H128" s="24"/>
      <c r="I128" s="24"/>
      <c r="J128" s="24"/>
      <c r="K128" s="24"/>
      <c r="L128" s="3"/>
      <c r="M128" s="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3"/>
      <c r="B129" s="3"/>
      <c r="C129" s="3"/>
      <c r="D129" s="3"/>
      <c r="E129" s="3"/>
      <c r="F129" s="3"/>
      <c r="G129" s="3"/>
      <c r="H129" s="24"/>
      <c r="I129" s="24"/>
      <c r="J129" s="24"/>
      <c r="K129" s="24"/>
      <c r="L129" s="3"/>
      <c r="M129" s="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3"/>
      <c r="B130" s="3"/>
      <c r="C130" s="3"/>
      <c r="D130" s="3"/>
      <c r="E130" s="3"/>
      <c r="F130" s="3"/>
      <c r="G130" s="3"/>
      <c r="H130" s="24"/>
      <c r="I130" s="24"/>
      <c r="J130" s="24"/>
      <c r="K130" s="24"/>
      <c r="L130" s="3"/>
      <c r="M130" s="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3"/>
      <c r="B131" s="3"/>
      <c r="C131" s="3"/>
      <c r="D131" s="3"/>
      <c r="E131" s="3"/>
      <c r="F131" s="3"/>
      <c r="G131" s="3"/>
      <c r="H131" s="24"/>
      <c r="I131" s="24"/>
      <c r="J131" s="24"/>
      <c r="K131" s="24"/>
      <c r="L131" s="3"/>
      <c r="M131" s="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3"/>
      <c r="B132" s="3"/>
      <c r="C132" s="3"/>
      <c r="D132" s="3"/>
      <c r="E132" s="3"/>
      <c r="F132" s="3"/>
      <c r="G132" s="3"/>
      <c r="H132" s="24"/>
      <c r="I132" s="24"/>
      <c r="J132" s="24"/>
      <c r="K132" s="24"/>
      <c r="L132" s="3"/>
      <c r="M132" s="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3"/>
      <c r="B133" s="3"/>
      <c r="C133" s="3"/>
      <c r="D133" s="3"/>
      <c r="E133" s="3"/>
      <c r="F133" s="3"/>
      <c r="G133" s="3"/>
      <c r="H133" s="24"/>
      <c r="I133" s="24"/>
      <c r="J133" s="24"/>
      <c r="K133" s="24"/>
      <c r="L133" s="3"/>
      <c r="M133" s="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3"/>
      <c r="B134" s="3"/>
      <c r="C134" s="3"/>
      <c r="D134" s="3"/>
      <c r="E134" s="3"/>
      <c r="F134" s="3"/>
      <c r="G134" s="3"/>
      <c r="H134" s="24"/>
      <c r="I134" s="24"/>
      <c r="J134" s="24"/>
      <c r="K134" s="24"/>
      <c r="L134" s="3"/>
      <c r="M134" s="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3"/>
      <c r="B135" s="3"/>
      <c r="C135" s="3"/>
      <c r="D135" s="3"/>
      <c r="E135" s="3"/>
      <c r="F135" s="3"/>
      <c r="G135" s="3"/>
      <c r="H135" s="24"/>
      <c r="I135" s="24"/>
      <c r="J135" s="24"/>
      <c r="K135" s="24"/>
      <c r="L135" s="3"/>
      <c r="M135" s="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3"/>
      <c r="B136" s="3"/>
      <c r="C136" s="3"/>
      <c r="D136" s="3"/>
      <c r="E136" s="3"/>
      <c r="F136" s="3"/>
      <c r="G136" s="3"/>
      <c r="H136" s="24"/>
      <c r="I136" s="24"/>
      <c r="J136" s="24"/>
      <c r="K136" s="24"/>
      <c r="L136" s="3"/>
      <c r="M136" s="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3"/>
      <c r="B137" s="3"/>
      <c r="C137" s="3"/>
      <c r="D137" s="3"/>
      <c r="E137" s="3"/>
      <c r="F137" s="3"/>
      <c r="G137" s="3"/>
      <c r="H137" s="24"/>
      <c r="I137" s="24"/>
      <c r="J137" s="24"/>
      <c r="K137" s="24"/>
      <c r="L137" s="3"/>
      <c r="M137" s="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3"/>
      <c r="B138" s="3"/>
      <c r="C138" s="3"/>
      <c r="D138" s="3"/>
      <c r="E138" s="3"/>
      <c r="F138" s="3"/>
      <c r="G138" s="3"/>
      <c r="H138" s="24"/>
      <c r="I138" s="24"/>
      <c r="J138" s="24"/>
      <c r="K138" s="24"/>
      <c r="L138" s="3"/>
      <c r="M138" s="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3"/>
      <c r="B139" s="3"/>
      <c r="C139" s="3"/>
      <c r="D139" s="3"/>
      <c r="E139" s="3"/>
      <c r="F139" s="3"/>
      <c r="G139" s="3"/>
      <c r="H139" s="24"/>
      <c r="I139" s="24"/>
      <c r="J139" s="24"/>
      <c r="K139" s="24"/>
      <c r="L139" s="3"/>
      <c r="M139" s="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3"/>
      <c r="B140" s="3"/>
      <c r="C140" s="3"/>
      <c r="D140" s="3"/>
      <c r="E140" s="3"/>
      <c r="F140" s="3"/>
      <c r="G140" s="3"/>
      <c r="H140" s="24"/>
      <c r="I140" s="24"/>
      <c r="J140" s="24"/>
      <c r="K140" s="24"/>
      <c r="L140" s="3"/>
      <c r="M140" s="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3"/>
      <c r="B141" s="3"/>
      <c r="C141" s="3"/>
      <c r="D141" s="3"/>
      <c r="E141" s="3"/>
      <c r="F141" s="3"/>
      <c r="G141" s="3"/>
      <c r="H141" s="24"/>
      <c r="I141" s="24"/>
      <c r="J141" s="24"/>
      <c r="K141" s="24"/>
      <c r="L141" s="3"/>
      <c r="M141" s="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3"/>
      <c r="B142" s="3"/>
      <c r="C142" s="3"/>
      <c r="D142" s="3"/>
      <c r="E142" s="3"/>
      <c r="F142" s="3"/>
      <c r="G142" s="3"/>
      <c r="H142" s="24"/>
      <c r="I142" s="24"/>
      <c r="J142" s="24"/>
      <c r="K142" s="24"/>
      <c r="L142" s="3"/>
      <c r="M142" s="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3"/>
      <c r="B143" s="3"/>
      <c r="C143" s="3"/>
      <c r="D143" s="3"/>
      <c r="E143" s="3"/>
      <c r="F143" s="3"/>
      <c r="G143" s="3"/>
      <c r="H143" s="24"/>
      <c r="I143" s="24"/>
      <c r="J143" s="24"/>
      <c r="K143" s="24"/>
      <c r="L143" s="3"/>
      <c r="M143" s="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3"/>
      <c r="B144" s="3"/>
      <c r="C144" s="3"/>
      <c r="D144" s="3"/>
      <c r="E144" s="3"/>
      <c r="F144" s="3"/>
      <c r="G144" s="3"/>
      <c r="H144" s="24"/>
      <c r="I144" s="24"/>
      <c r="J144" s="24"/>
      <c r="K144" s="24"/>
      <c r="L144" s="3"/>
      <c r="M144" s="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3"/>
      <c r="B145" s="3"/>
      <c r="C145" s="3"/>
      <c r="D145" s="3"/>
      <c r="E145" s="3"/>
      <c r="F145" s="3"/>
      <c r="G145" s="3"/>
      <c r="H145" s="24"/>
      <c r="I145" s="24"/>
      <c r="J145" s="24"/>
      <c r="K145" s="24"/>
      <c r="L145" s="3"/>
      <c r="M145" s="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3"/>
      <c r="B146" s="3"/>
      <c r="C146" s="3"/>
      <c r="D146" s="3"/>
      <c r="E146" s="3"/>
      <c r="F146" s="3"/>
      <c r="G146" s="3"/>
      <c r="H146" s="24"/>
      <c r="I146" s="24"/>
      <c r="J146" s="24"/>
      <c r="K146" s="24"/>
      <c r="L146" s="3"/>
      <c r="M146" s="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3"/>
      <c r="B147" s="3"/>
      <c r="C147" s="3"/>
      <c r="D147" s="3"/>
      <c r="E147" s="3"/>
      <c r="F147" s="3"/>
      <c r="G147" s="3"/>
      <c r="H147" s="24"/>
      <c r="I147" s="24"/>
      <c r="J147" s="24"/>
      <c r="K147" s="24"/>
      <c r="L147" s="3"/>
      <c r="M147" s="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3"/>
      <c r="B148" s="3"/>
      <c r="C148" s="3"/>
      <c r="D148" s="3"/>
      <c r="E148" s="3"/>
      <c r="F148" s="3"/>
      <c r="G148" s="3"/>
      <c r="H148" s="24"/>
      <c r="I148" s="24"/>
      <c r="J148" s="24"/>
      <c r="K148" s="24"/>
      <c r="L148" s="3"/>
      <c r="M148" s="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3"/>
      <c r="B149" s="3"/>
      <c r="C149" s="3"/>
      <c r="D149" s="3"/>
      <c r="E149" s="3"/>
      <c r="F149" s="3"/>
      <c r="G149" s="3"/>
      <c r="H149" s="24"/>
      <c r="I149" s="24"/>
      <c r="J149" s="24"/>
      <c r="K149" s="24"/>
      <c r="L149" s="3"/>
      <c r="M149" s="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3"/>
      <c r="B150" s="3"/>
      <c r="C150" s="3"/>
      <c r="D150" s="3"/>
      <c r="E150" s="3"/>
      <c r="F150" s="3"/>
      <c r="G150" s="3"/>
      <c r="H150" s="24"/>
      <c r="I150" s="24"/>
      <c r="J150" s="24"/>
      <c r="K150" s="24"/>
      <c r="L150" s="3"/>
      <c r="M150" s="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3"/>
      <c r="B151" s="3"/>
      <c r="C151" s="3"/>
      <c r="D151" s="3"/>
      <c r="E151" s="3"/>
      <c r="F151" s="3"/>
      <c r="G151" s="3"/>
      <c r="H151" s="24"/>
      <c r="I151" s="24"/>
      <c r="J151" s="24"/>
      <c r="K151" s="24"/>
      <c r="L151" s="3"/>
      <c r="M151" s="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3"/>
      <c r="B152" s="3"/>
      <c r="C152" s="3"/>
      <c r="D152" s="3"/>
      <c r="E152" s="3"/>
      <c r="F152" s="3"/>
      <c r="G152" s="3"/>
      <c r="H152" s="24"/>
      <c r="I152" s="24"/>
      <c r="J152" s="24"/>
      <c r="K152" s="24"/>
      <c r="L152" s="3"/>
      <c r="M152" s="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3"/>
      <c r="B153" s="3"/>
      <c r="C153" s="3"/>
      <c r="D153" s="3"/>
      <c r="E153" s="3"/>
      <c r="F153" s="3"/>
      <c r="G153" s="3"/>
      <c r="H153" s="24"/>
      <c r="I153" s="24"/>
      <c r="J153" s="24"/>
      <c r="K153" s="24"/>
      <c r="L153" s="3"/>
      <c r="M153" s="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3"/>
      <c r="B154" s="3"/>
      <c r="C154" s="3"/>
      <c r="D154" s="3"/>
      <c r="E154" s="3"/>
      <c r="F154" s="3"/>
      <c r="G154" s="3"/>
      <c r="H154" s="24"/>
      <c r="I154" s="24"/>
      <c r="J154" s="24"/>
      <c r="K154" s="24"/>
      <c r="L154" s="3"/>
      <c r="M154" s="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3"/>
      <c r="B155" s="3"/>
      <c r="C155" s="3"/>
      <c r="D155" s="3"/>
      <c r="E155" s="3"/>
      <c r="F155" s="3"/>
      <c r="G155" s="3"/>
      <c r="H155" s="24"/>
      <c r="I155" s="24"/>
      <c r="J155" s="24"/>
      <c r="K155" s="24"/>
      <c r="L155" s="3"/>
      <c r="M155" s="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3"/>
      <c r="B156" s="3"/>
      <c r="C156" s="3"/>
      <c r="D156" s="3"/>
      <c r="E156" s="3"/>
      <c r="F156" s="3"/>
      <c r="G156" s="3"/>
      <c r="H156" s="24"/>
      <c r="I156" s="24"/>
      <c r="J156" s="24"/>
      <c r="K156" s="24"/>
      <c r="L156" s="3"/>
      <c r="M156" s="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3"/>
      <c r="B157" s="3"/>
      <c r="C157" s="3"/>
      <c r="D157" s="3"/>
      <c r="E157" s="3"/>
      <c r="F157" s="3"/>
      <c r="G157" s="3"/>
      <c r="H157" s="24"/>
      <c r="I157" s="24"/>
      <c r="J157" s="24"/>
      <c r="K157" s="24"/>
      <c r="L157" s="3"/>
      <c r="M157" s="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3"/>
      <c r="B158" s="3"/>
      <c r="C158" s="3"/>
      <c r="D158" s="3"/>
      <c r="E158" s="3"/>
      <c r="F158" s="3"/>
      <c r="G158" s="3"/>
      <c r="H158" s="24"/>
      <c r="I158" s="24"/>
      <c r="J158" s="24"/>
      <c r="K158" s="24"/>
      <c r="L158" s="3"/>
      <c r="M158" s="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3"/>
      <c r="B159" s="3"/>
      <c r="C159" s="3"/>
      <c r="D159" s="3"/>
      <c r="E159" s="3"/>
      <c r="F159" s="3"/>
      <c r="G159" s="3"/>
      <c r="H159" s="24"/>
      <c r="I159" s="24"/>
      <c r="J159" s="24"/>
      <c r="K159" s="24"/>
      <c r="L159" s="3"/>
      <c r="M159" s="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3"/>
      <c r="B160" s="3"/>
      <c r="C160" s="3"/>
      <c r="D160" s="3"/>
      <c r="E160" s="3"/>
      <c r="F160" s="3"/>
      <c r="G160" s="3"/>
      <c r="H160" s="24"/>
      <c r="I160" s="24"/>
      <c r="J160" s="24"/>
      <c r="K160" s="24"/>
      <c r="L160" s="3"/>
      <c r="M160" s="3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3"/>
      <c r="B161" s="3"/>
      <c r="C161" s="3"/>
      <c r="D161" s="3"/>
      <c r="E161" s="3"/>
      <c r="F161" s="3"/>
      <c r="G161" s="3"/>
      <c r="H161" s="24"/>
      <c r="I161" s="24"/>
      <c r="J161" s="24"/>
      <c r="K161" s="24"/>
      <c r="L161" s="3"/>
      <c r="M161" s="3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3"/>
      <c r="B162" s="3"/>
      <c r="C162" s="3"/>
      <c r="D162" s="3"/>
      <c r="E162" s="3"/>
      <c r="F162" s="3"/>
      <c r="G162" s="3"/>
      <c r="H162" s="24"/>
      <c r="I162" s="24"/>
      <c r="J162" s="24"/>
      <c r="K162" s="24"/>
      <c r="L162" s="3"/>
      <c r="M162" s="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3"/>
      <c r="B163" s="3"/>
      <c r="C163" s="3"/>
      <c r="D163" s="3"/>
      <c r="E163" s="3"/>
      <c r="F163" s="3"/>
      <c r="G163" s="3"/>
      <c r="H163" s="24"/>
      <c r="I163" s="24"/>
      <c r="J163" s="24"/>
      <c r="K163" s="24"/>
      <c r="L163" s="3"/>
      <c r="M163" s="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3"/>
      <c r="B164" s="3"/>
      <c r="C164" s="3"/>
      <c r="D164" s="3"/>
      <c r="E164" s="3"/>
      <c r="F164" s="3"/>
      <c r="G164" s="3"/>
      <c r="H164" s="24"/>
      <c r="I164" s="24"/>
      <c r="J164" s="24"/>
      <c r="K164" s="24"/>
      <c r="L164" s="3"/>
      <c r="M164" s="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3"/>
      <c r="B165" s="3"/>
      <c r="C165" s="3"/>
      <c r="D165" s="3"/>
      <c r="E165" s="3"/>
      <c r="F165" s="3"/>
      <c r="G165" s="3"/>
      <c r="H165" s="24"/>
      <c r="I165" s="24"/>
      <c r="J165" s="24"/>
      <c r="K165" s="24"/>
      <c r="L165" s="3"/>
      <c r="M165" s="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3"/>
      <c r="B166" s="3"/>
      <c r="C166" s="3"/>
      <c r="D166" s="3"/>
      <c r="E166" s="3"/>
      <c r="F166" s="3"/>
      <c r="G166" s="3"/>
      <c r="H166" s="24"/>
      <c r="I166" s="24"/>
      <c r="J166" s="24"/>
      <c r="K166" s="24"/>
      <c r="L166" s="3"/>
      <c r="M166" s="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3"/>
      <c r="B167" s="3"/>
      <c r="C167" s="3"/>
      <c r="D167" s="3"/>
      <c r="E167" s="3"/>
      <c r="F167" s="3"/>
      <c r="G167" s="3"/>
      <c r="H167" s="24"/>
      <c r="I167" s="24"/>
      <c r="J167" s="24"/>
      <c r="K167" s="24"/>
      <c r="L167" s="3"/>
      <c r="M167" s="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3"/>
      <c r="B168" s="3"/>
      <c r="C168" s="3"/>
      <c r="D168" s="3"/>
      <c r="E168" s="3"/>
      <c r="F168" s="3"/>
      <c r="G168" s="3"/>
      <c r="H168" s="24"/>
      <c r="I168" s="24"/>
      <c r="J168" s="24"/>
      <c r="K168" s="24"/>
      <c r="L168" s="3"/>
      <c r="M168" s="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3"/>
      <c r="B169" s="3"/>
      <c r="C169" s="3"/>
      <c r="D169" s="3"/>
      <c r="E169" s="3"/>
      <c r="F169" s="3"/>
      <c r="G169" s="3"/>
      <c r="H169" s="24"/>
      <c r="I169" s="24"/>
      <c r="J169" s="24"/>
      <c r="K169" s="24"/>
      <c r="L169" s="3"/>
      <c r="M169" s="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3"/>
      <c r="B170" s="3"/>
      <c r="C170" s="3"/>
      <c r="D170" s="3"/>
      <c r="E170" s="3"/>
      <c r="F170" s="3"/>
      <c r="G170" s="3"/>
      <c r="H170" s="24"/>
      <c r="I170" s="24"/>
      <c r="J170" s="24"/>
      <c r="K170" s="24"/>
      <c r="L170" s="3"/>
      <c r="M170" s="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3"/>
      <c r="B171" s="3"/>
      <c r="C171" s="3"/>
      <c r="D171" s="3"/>
      <c r="E171" s="3"/>
      <c r="F171" s="3"/>
      <c r="G171" s="3"/>
      <c r="H171" s="24"/>
      <c r="I171" s="24"/>
      <c r="J171" s="24"/>
      <c r="K171" s="24"/>
      <c r="L171" s="3"/>
      <c r="M171" s="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3"/>
      <c r="B172" s="3"/>
      <c r="C172" s="3"/>
      <c r="D172" s="3"/>
      <c r="E172" s="3"/>
      <c r="F172" s="3"/>
      <c r="G172" s="3"/>
      <c r="H172" s="24"/>
      <c r="I172" s="24"/>
      <c r="J172" s="24"/>
      <c r="K172" s="24"/>
      <c r="L172" s="3"/>
      <c r="M172" s="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3"/>
      <c r="B173" s="3"/>
      <c r="C173" s="3"/>
      <c r="D173" s="3"/>
      <c r="E173" s="3"/>
      <c r="F173" s="3"/>
      <c r="G173" s="3"/>
      <c r="H173" s="24"/>
      <c r="I173" s="24"/>
      <c r="J173" s="24"/>
      <c r="K173" s="24"/>
      <c r="L173" s="3"/>
      <c r="M173" s="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3"/>
      <c r="B174" s="3"/>
      <c r="C174" s="3"/>
      <c r="D174" s="3"/>
      <c r="E174" s="3"/>
      <c r="F174" s="3"/>
      <c r="G174" s="3"/>
      <c r="H174" s="24"/>
      <c r="I174" s="24"/>
      <c r="J174" s="24"/>
      <c r="K174" s="24"/>
      <c r="L174" s="3"/>
      <c r="M174" s="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3"/>
      <c r="B175" s="3"/>
      <c r="C175" s="3"/>
      <c r="D175" s="3"/>
      <c r="E175" s="3"/>
      <c r="F175" s="3"/>
      <c r="G175" s="3"/>
      <c r="H175" s="24"/>
      <c r="I175" s="24"/>
      <c r="J175" s="24"/>
      <c r="K175" s="24"/>
      <c r="L175" s="3"/>
      <c r="M175" s="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3"/>
      <c r="B176" s="3"/>
      <c r="C176" s="3"/>
      <c r="D176" s="3"/>
      <c r="E176" s="3"/>
      <c r="F176" s="3"/>
      <c r="G176" s="3"/>
      <c r="H176" s="24"/>
      <c r="I176" s="24"/>
      <c r="J176" s="24"/>
      <c r="K176" s="24"/>
      <c r="L176" s="3"/>
      <c r="M176" s="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3"/>
      <c r="B177" s="3"/>
      <c r="C177" s="3"/>
      <c r="D177" s="3"/>
      <c r="E177" s="3"/>
      <c r="F177" s="3"/>
      <c r="G177" s="3"/>
      <c r="H177" s="24"/>
      <c r="I177" s="24"/>
      <c r="J177" s="24"/>
      <c r="K177" s="24"/>
      <c r="L177" s="3"/>
      <c r="M177" s="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3"/>
      <c r="B178" s="3"/>
      <c r="C178" s="3"/>
      <c r="D178" s="3"/>
      <c r="E178" s="3"/>
      <c r="F178" s="3"/>
      <c r="G178" s="3"/>
      <c r="H178" s="24"/>
      <c r="I178" s="24"/>
      <c r="J178" s="24"/>
      <c r="K178" s="24"/>
      <c r="L178" s="3"/>
      <c r="M178" s="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3"/>
      <c r="B179" s="3"/>
      <c r="C179" s="3"/>
      <c r="D179" s="3"/>
      <c r="E179" s="3"/>
      <c r="F179" s="3"/>
      <c r="G179" s="3"/>
      <c r="H179" s="24"/>
      <c r="I179" s="24"/>
      <c r="J179" s="24"/>
      <c r="K179" s="24"/>
      <c r="L179" s="3"/>
      <c r="M179" s="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3"/>
      <c r="B180" s="3"/>
      <c r="C180" s="3"/>
      <c r="D180" s="3"/>
      <c r="E180" s="3"/>
      <c r="F180" s="3"/>
      <c r="G180" s="3"/>
      <c r="H180" s="24"/>
      <c r="I180" s="24"/>
      <c r="J180" s="24"/>
      <c r="K180" s="24"/>
      <c r="L180" s="3"/>
      <c r="M180" s="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3"/>
      <c r="B181" s="3"/>
      <c r="C181" s="3"/>
      <c r="D181" s="3"/>
      <c r="E181" s="3"/>
      <c r="F181" s="3"/>
      <c r="G181" s="3"/>
      <c r="H181" s="24"/>
      <c r="I181" s="24"/>
      <c r="J181" s="24"/>
      <c r="K181" s="24"/>
      <c r="L181" s="3"/>
      <c r="M181" s="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3"/>
      <c r="B182" s="3"/>
      <c r="C182" s="3"/>
      <c r="D182" s="3"/>
      <c r="E182" s="3"/>
      <c r="F182" s="3"/>
      <c r="G182" s="3"/>
      <c r="H182" s="24"/>
      <c r="I182" s="24"/>
      <c r="J182" s="24"/>
      <c r="K182" s="24"/>
      <c r="L182" s="3"/>
      <c r="M182" s="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3"/>
      <c r="B183" s="3"/>
      <c r="C183" s="3"/>
      <c r="D183" s="3"/>
      <c r="E183" s="3"/>
      <c r="F183" s="3"/>
      <c r="G183" s="3"/>
      <c r="H183" s="24"/>
      <c r="I183" s="24"/>
      <c r="J183" s="24"/>
      <c r="K183" s="24"/>
      <c r="L183" s="3"/>
      <c r="M183" s="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3"/>
      <c r="B184" s="3"/>
      <c r="C184" s="3"/>
      <c r="D184" s="3"/>
      <c r="E184" s="3"/>
      <c r="F184" s="3"/>
      <c r="G184" s="3"/>
      <c r="H184" s="24"/>
      <c r="I184" s="24"/>
      <c r="J184" s="24"/>
      <c r="K184" s="24"/>
      <c r="L184" s="3"/>
      <c r="M184" s="3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3"/>
      <c r="B185" s="3"/>
      <c r="C185" s="3"/>
      <c r="D185" s="3"/>
      <c r="E185" s="3"/>
      <c r="F185" s="3"/>
      <c r="G185" s="3"/>
      <c r="H185" s="24"/>
      <c r="I185" s="24"/>
      <c r="J185" s="24"/>
      <c r="K185" s="24"/>
      <c r="L185" s="3"/>
      <c r="M185" s="3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3"/>
      <c r="B186" s="3"/>
      <c r="C186" s="3"/>
      <c r="D186" s="3"/>
      <c r="E186" s="3"/>
      <c r="F186" s="3"/>
      <c r="G186" s="3"/>
      <c r="H186" s="24"/>
      <c r="I186" s="24"/>
      <c r="J186" s="24"/>
      <c r="K186" s="24"/>
      <c r="L186" s="3"/>
      <c r="M186" s="3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3"/>
      <c r="B187" s="3"/>
      <c r="C187" s="3"/>
      <c r="D187" s="3"/>
      <c r="E187" s="3"/>
      <c r="F187" s="3"/>
      <c r="G187" s="3"/>
      <c r="H187" s="24"/>
      <c r="I187" s="24"/>
      <c r="J187" s="24"/>
      <c r="K187" s="24"/>
      <c r="L187" s="3"/>
      <c r="M187" s="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3"/>
      <c r="B188" s="3"/>
      <c r="C188" s="3"/>
      <c r="D188" s="3"/>
      <c r="E188" s="3"/>
      <c r="F188" s="3"/>
      <c r="G188" s="3"/>
      <c r="H188" s="24"/>
      <c r="I188" s="24"/>
      <c r="J188" s="24"/>
      <c r="K188" s="24"/>
      <c r="L188" s="3"/>
      <c r="M188" s="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3"/>
      <c r="B189" s="3"/>
      <c r="C189" s="3"/>
      <c r="D189" s="3"/>
      <c r="E189" s="3"/>
      <c r="F189" s="3"/>
      <c r="G189" s="3"/>
      <c r="H189" s="24"/>
      <c r="I189" s="24"/>
      <c r="J189" s="24"/>
      <c r="K189" s="24"/>
      <c r="L189" s="3"/>
      <c r="M189" s="3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3"/>
      <c r="B190" s="3"/>
      <c r="C190" s="3"/>
      <c r="D190" s="3"/>
      <c r="E190" s="3"/>
      <c r="F190" s="3"/>
      <c r="G190" s="3"/>
      <c r="H190" s="24"/>
      <c r="I190" s="24"/>
      <c r="J190" s="24"/>
      <c r="K190" s="24"/>
      <c r="L190" s="3"/>
      <c r="M190" s="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3"/>
      <c r="B191" s="3"/>
      <c r="C191" s="3"/>
      <c r="D191" s="3"/>
      <c r="E191" s="3"/>
      <c r="F191" s="3"/>
      <c r="G191" s="3"/>
      <c r="H191" s="24"/>
      <c r="I191" s="24"/>
      <c r="J191" s="24"/>
      <c r="K191" s="24"/>
      <c r="L191" s="3"/>
      <c r="M191" s="3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3"/>
      <c r="B192" s="3"/>
      <c r="C192" s="3"/>
      <c r="D192" s="3"/>
      <c r="E192" s="3"/>
      <c r="F192" s="3"/>
      <c r="G192" s="3"/>
      <c r="H192" s="24"/>
      <c r="I192" s="24"/>
      <c r="J192" s="24"/>
      <c r="K192" s="24"/>
      <c r="L192" s="3"/>
      <c r="M192" s="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3"/>
      <c r="B193" s="3"/>
      <c r="C193" s="3"/>
      <c r="D193" s="3"/>
      <c r="E193" s="3"/>
      <c r="F193" s="3"/>
      <c r="G193" s="3"/>
      <c r="H193" s="24"/>
      <c r="I193" s="24"/>
      <c r="J193" s="24"/>
      <c r="K193" s="24"/>
      <c r="L193" s="3"/>
      <c r="M193" s="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3"/>
      <c r="B194" s="3"/>
      <c r="C194" s="3"/>
      <c r="D194" s="3"/>
      <c r="E194" s="3"/>
      <c r="F194" s="3"/>
      <c r="G194" s="3"/>
      <c r="H194" s="24"/>
      <c r="I194" s="24"/>
      <c r="J194" s="24"/>
      <c r="K194" s="24"/>
      <c r="L194" s="3"/>
      <c r="M194" s="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3"/>
      <c r="B195" s="3"/>
      <c r="C195" s="3"/>
      <c r="D195" s="3"/>
      <c r="E195" s="3"/>
      <c r="F195" s="3"/>
      <c r="G195" s="3"/>
      <c r="H195" s="24"/>
      <c r="I195" s="24"/>
      <c r="J195" s="24"/>
      <c r="K195" s="24"/>
      <c r="L195" s="3"/>
      <c r="M195" s="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3"/>
      <c r="B196" s="3"/>
      <c r="C196" s="3"/>
      <c r="D196" s="3"/>
      <c r="E196" s="3"/>
      <c r="F196" s="3"/>
      <c r="G196" s="3"/>
      <c r="H196" s="24"/>
      <c r="I196" s="24"/>
      <c r="J196" s="24"/>
      <c r="K196" s="24"/>
      <c r="L196" s="3"/>
      <c r="M196" s="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3"/>
      <c r="B197" s="3"/>
      <c r="C197" s="3"/>
      <c r="D197" s="3"/>
      <c r="E197" s="3"/>
      <c r="F197" s="3"/>
      <c r="G197" s="3"/>
      <c r="H197" s="24"/>
      <c r="I197" s="24"/>
      <c r="J197" s="24"/>
      <c r="K197" s="24"/>
      <c r="L197" s="3"/>
      <c r="M197" s="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3"/>
      <c r="B198" s="3"/>
      <c r="C198" s="3"/>
      <c r="D198" s="3"/>
      <c r="E198" s="3"/>
      <c r="F198" s="3"/>
      <c r="G198" s="3"/>
      <c r="H198" s="24"/>
      <c r="I198" s="24"/>
      <c r="J198" s="24"/>
      <c r="K198" s="24"/>
      <c r="L198" s="3"/>
      <c r="M198" s="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3"/>
      <c r="B199" s="3"/>
      <c r="C199" s="3"/>
      <c r="D199" s="3"/>
      <c r="E199" s="3"/>
      <c r="F199" s="3"/>
      <c r="G199" s="3"/>
      <c r="H199" s="24"/>
      <c r="I199" s="24"/>
      <c r="J199" s="24"/>
      <c r="K199" s="24"/>
      <c r="L199" s="3"/>
      <c r="M199" s="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3"/>
      <c r="B200" s="3"/>
      <c r="C200" s="3"/>
      <c r="D200" s="3"/>
      <c r="E200" s="3"/>
      <c r="F200" s="3"/>
      <c r="G200" s="3"/>
      <c r="H200" s="24"/>
      <c r="I200" s="24"/>
      <c r="J200" s="24"/>
      <c r="K200" s="24"/>
      <c r="L200" s="3"/>
      <c r="M200" s="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3"/>
      <c r="B201" s="3"/>
      <c r="C201" s="3"/>
      <c r="D201" s="3"/>
      <c r="E201" s="3"/>
      <c r="F201" s="3"/>
      <c r="G201" s="3"/>
      <c r="H201" s="24"/>
      <c r="I201" s="24"/>
      <c r="J201" s="24"/>
      <c r="K201" s="24"/>
      <c r="L201" s="3"/>
      <c r="M201" s="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3"/>
      <c r="B202" s="3"/>
      <c r="C202" s="3"/>
      <c r="D202" s="3"/>
      <c r="E202" s="3"/>
      <c r="F202" s="3"/>
      <c r="G202" s="3"/>
      <c r="H202" s="24"/>
      <c r="I202" s="24"/>
      <c r="J202" s="24"/>
      <c r="K202" s="24"/>
      <c r="L202" s="3"/>
      <c r="M202" s="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3"/>
      <c r="B203" s="3"/>
      <c r="C203" s="3"/>
      <c r="D203" s="3"/>
      <c r="E203" s="3"/>
      <c r="F203" s="3"/>
      <c r="G203" s="3"/>
      <c r="H203" s="24"/>
      <c r="I203" s="24"/>
      <c r="J203" s="24"/>
      <c r="K203" s="24"/>
      <c r="L203" s="3"/>
      <c r="M203" s="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3"/>
      <c r="B204" s="3"/>
      <c r="C204" s="3"/>
      <c r="D204" s="3"/>
      <c r="E204" s="3"/>
      <c r="F204" s="3"/>
      <c r="G204" s="3"/>
      <c r="H204" s="24"/>
      <c r="I204" s="24"/>
      <c r="J204" s="24"/>
      <c r="K204" s="24"/>
      <c r="L204" s="3"/>
      <c r="M204" s="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3"/>
      <c r="B205" s="3"/>
      <c r="C205" s="3"/>
      <c r="D205" s="3"/>
      <c r="E205" s="3"/>
      <c r="F205" s="3"/>
      <c r="G205" s="3"/>
      <c r="H205" s="24"/>
      <c r="I205" s="24"/>
      <c r="J205" s="24"/>
      <c r="K205" s="24"/>
      <c r="L205" s="3"/>
      <c r="M205" s="3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3"/>
      <c r="B206" s="3"/>
      <c r="C206" s="3"/>
      <c r="D206" s="3"/>
      <c r="E206" s="3"/>
      <c r="F206" s="3"/>
      <c r="G206" s="3"/>
      <c r="H206" s="24"/>
      <c r="I206" s="24"/>
      <c r="J206" s="24"/>
      <c r="K206" s="24"/>
      <c r="L206" s="3"/>
      <c r="M206" s="3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3"/>
      <c r="B207" s="3"/>
      <c r="C207" s="3"/>
      <c r="D207" s="3"/>
      <c r="E207" s="3"/>
      <c r="F207" s="3"/>
      <c r="G207" s="3"/>
      <c r="H207" s="24"/>
      <c r="I207" s="24"/>
      <c r="J207" s="24"/>
      <c r="K207" s="24"/>
      <c r="L207" s="3"/>
      <c r="M207" s="3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3"/>
      <c r="B208" s="3"/>
      <c r="C208" s="3"/>
      <c r="D208" s="3"/>
      <c r="E208" s="3"/>
      <c r="F208" s="3"/>
      <c r="G208" s="3"/>
      <c r="H208" s="24"/>
      <c r="I208" s="24"/>
      <c r="J208" s="24"/>
      <c r="K208" s="24"/>
      <c r="L208" s="3"/>
      <c r="M208" s="3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3"/>
      <c r="B209" s="3"/>
      <c r="C209" s="3"/>
      <c r="D209" s="3"/>
      <c r="E209" s="3"/>
      <c r="F209" s="3"/>
      <c r="G209" s="3"/>
      <c r="H209" s="24"/>
      <c r="I209" s="24"/>
      <c r="J209" s="24"/>
      <c r="K209" s="24"/>
      <c r="L209" s="3"/>
      <c r="M209" s="3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3"/>
      <c r="B210" s="3"/>
      <c r="C210" s="3"/>
      <c r="D210" s="3"/>
      <c r="E210" s="3"/>
      <c r="F210" s="3"/>
      <c r="G210" s="3"/>
      <c r="H210" s="24"/>
      <c r="I210" s="24"/>
      <c r="J210" s="24"/>
      <c r="K210" s="24"/>
      <c r="L210" s="3"/>
      <c r="M210" s="3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25"/>
      <c r="K211" s="2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25"/>
      <c r="K212" s="2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25"/>
      <c r="K213" s="2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25"/>
      <c r="K214" s="2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25"/>
      <c r="K215" s="2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25"/>
      <c r="K216" s="2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25"/>
      <c r="K217" s="2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25"/>
      <c r="K218" s="2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25"/>
      <c r="K219" s="2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25"/>
      <c r="K220" s="2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25"/>
      <c r="K221" s="2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25"/>
      <c r="K222" s="2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25"/>
      <c r="K223" s="2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25"/>
      <c r="K224" s="2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25"/>
      <c r="K225" s="2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25"/>
      <c r="K226" s="2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25"/>
      <c r="K227" s="2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25"/>
      <c r="K228" s="2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25"/>
      <c r="K229" s="2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25"/>
      <c r="K230" s="2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25"/>
      <c r="K231" s="2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25"/>
      <c r="K232" s="2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25"/>
      <c r="K233" s="2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25"/>
      <c r="K234" s="2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25"/>
      <c r="K235" s="2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25"/>
      <c r="K236" s="2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25"/>
      <c r="K237" s="2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25"/>
      <c r="K238" s="2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25"/>
      <c r="K239" s="2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25"/>
      <c r="K240" s="2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25"/>
      <c r="K241" s="2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25"/>
      <c r="K242" s="2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25"/>
      <c r="K243" s="2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25"/>
      <c r="K244" s="2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25"/>
      <c r="K245" s="2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25"/>
      <c r="K246" s="2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25"/>
      <c r="K247" s="2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25"/>
      <c r="K248" s="2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25"/>
      <c r="K249" s="2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25"/>
      <c r="K250" s="2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25"/>
      <c r="K251" s="2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25"/>
      <c r="K252" s="2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25"/>
      <c r="K253" s="2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25"/>
      <c r="K254" s="2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25"/>
      <c r="K255" s="2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25"/>
      <c r="K256" s="2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25"/>
      <c r="K257" s="2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25"/>
      <c r="K258" s="2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25"/>
      <c r="K259" s="2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25"/>
      <c r="K260" s="2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25"/>
      <c r="K261" s="2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25"/>
      <c r="K262" s="2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25"/>
      <c r="K263" s="2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25"/>
      <c r="K264" s="2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25"/>
      <c r="K265" s="2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25"/>
      <c r="K266" s="2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25"/>
      <c r="K267" s="2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25"/>
      <c r="K268" s="2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25"/>
      <c r="K269" s="2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25"/>
      <c r="K270" s="2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25"/>
      <c r="K271" s="2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25"/>
      <c r="K272" s="2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25"/>
      <c r="K273" s="2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25"/>
      <c r="K274" s="2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25"/>
      <c r="K275" s="2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25"/>
      <c r="K276" s="2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25"/>
      <c r="K277" s="2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25"/>
      <c r="K278" s="2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25"/>
      <c r="K279" s="2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25"/>
      <c r="K280" s="2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25"/>
      <c r="K281" s="2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25"/>
      <c r="K282" s="2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25"/>
      <c r="K283" s="2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25"/>
      <c r="K284" s="2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25"/>
      <c r="K285" s="2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25"/>
      <c r="K286" s="2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25"/>
      <c r="K287" s="2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25"/>
      <c r="K288" s="2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25"/>
      <c r="K289" s="2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25"/>
      <c r="K290" s="2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25"/>
      <c r="K291" s="2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25"/>
      <c r="K292" s="2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25"/>
      <c r="K293" s="2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25"/>
      <c r="K294" s="2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25"/>
      <c r="K295" s="2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25"/>
      <c r="K296" s="2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25"/>
      <c r="K297" s="2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25"/>
      <c r="K298" s="2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25"/>
      <c r="K299" s="2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25"/>
      <c r="K300" s="2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25"/>
      <c r="K301" s="2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25"/>
      <c r="K302" s="2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25"/>
      <c r="K303" s="2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25"/>
      <c r="K304" s="2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25"/>
      <c r="K305" s="2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25"/>
      <c r="K306" s="2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25"/>
      <c r="K307" s="2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25"/>
      <c r="K308" s="2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25"/>
      <c r="K309" s="2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25"/>
      <c r="K310" s="2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25"/>
      <c r="K311" s="2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25"/>
      <c r="K312" s="2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25"/>
      <c r="K313" s="2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25"/>
      <c r="K314" s="2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25"/>
      <c r="K315" s="2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25"/>
      <c r="K316" s="2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25"/>
      <c r="K317" s="2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25"/>
      <c r="K318" s="2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25"/>
      <c r="K319" s="2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25"/>
      <c r="K320" s="2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25"/>
      <c r="K321" s="2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25"/>
      <c r="K322" s="2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25"/>
      <c r="K323" s="2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25"/>
      <c r="K324" s="2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25"/>
      <c r="K325" s="2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25"/>
      <c r="K326" s="2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25"/>
      <c r="K327" s="2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25"/>
      <c r="K328" s="2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25"/>
      <c r="K329" s="2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25"/>
      <c r="K330" s="2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25"/>
      <c r="K331" s="2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25"/>
      <c r="K332" s="2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25"/>
      <c r="K333" s="2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25"/>
      <c r="K334" s="2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25"/>
      <c r="K335" s="2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25"/>
      <c r="K336" s="2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25"/>
      <c r="K337" s="2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25"/>
      <c r="K338" s="2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25"/>
      <c r="K339" s="2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25"/>
      <c r="K340" s="2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25"/>
      <c r="K341" s="2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25"/>
      <c r="K342" s="2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25"/>
      <c r="K343" s="2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25"/>
      <c r="K344" s="2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25"/>
      <c r="K345" s="2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25"/>
      <c r="K346" s="2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25"/>
      <c r="K347" s="2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25"/>
      <c r="K348" s="2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25"/>
      <c r="K349" s="2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25"/>
      <c r="K350" s="2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25"/>
      <c r="K351" s="2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25"/>
      <c r="K352" s="2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25"/>
      <c r="K353" s="2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25"/>
      <c r="K354" s="2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25"/>
      <c r="K355" s="2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25"/>
      <c r="K356" s="2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25"/>
      <c r="K357" s="2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25"/>
      <c r="K358" s="2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25"/>
      <c r="K359" s="2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25"/>
      <c r="K360" s="2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25"/>
      <c r="K361" s="2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25"/>
      <c r="K362" s="2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25"/>
      <c r="K363" s="2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25"/>
      <c r="K364" s="2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25"/>
      <c r="K365" s="2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25"/>
      <c r="K366" s="2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25"/>
      <c r="K367" s="2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25"/>
      <c r="K368" s="2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25"/>
      <c r="K369" s="2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25"/>
      <c r="K370" s="2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25"/>
      <c r="K371" s="2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25"/>
      <c r="K372" s="2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25"/>
      <c r="K373" s="2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25"/>
      <c r="K374" s="2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25"/>
      <c r="K375" s="2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25"/>
      <c r="K376" s="2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25"/>
      <c r="K377" s="2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25"/>
      <c r="K378" s="2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25"/>
      <c r="K379" s="2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25"/>
      <c r="K380" s="2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25"/>
      <c r="K381" s="2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25"/>
      <c r="K382" s="2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25"/>
      <c r="K383" s="2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25"/>
      <c r="K384" s="2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25"/>
      <c r="K385" s="2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25"/>
      <c r="K386" s="2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25"/>
      <c r="K387" s="2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25"/>
      <c r="K388" s="2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25"/>
      <c r="K389" s="2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25"/>
      <c r="K390" s="2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25"/>
      <c r="K391" s="2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25"/>
      <c r="K392" s="2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25"/>
      <c r="K393" s="2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25"/>
      <c r="K394" s="2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25"/>
      <c r="K395" s="2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25"/>
      <c r="K396" s="2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25"/>
      <c r="K397" s="2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25"/>
      <c r="K398" s="2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25"/>
      <c r="K399" s="2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25"/>
      <c r="K400" s="2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25"/>
      <c r="K401" s="2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25"/>
      <c r="K402" s="2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25"/>
      <c r="K403" s="2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25"/>
      <c r="K404" s="2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25"/>
      <c r="K405" s="2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25"/>
      <c r="K406" s="2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25"/>
      <c r="K407" s="2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25"/>
      <c r="K408" s="2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25"/>
      <c r="K409" s="2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25"/>
      <c r="K410" s="2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25"/>
      <c r="K411" s="2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25"/>
      <c r="K412" s="2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25"/>
      <c r="K413" s="2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25"/>
      <c r="K414" s="2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25"/>
      <c r="K415" s="2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25"/>
      <c r="K416" s="2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25"/>
      <c r="K417" s="2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25"/>
      <c r="K418" s="2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25"/>
      <c r="K419" s="2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25"/>
      <c r="K420" s="2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25"/>
      <c r="K421" s="2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25"/>
      <c r="K422" s="2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25"/>
      <c r="K423" s="2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25"/>
      <c r="K424" s="2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25"/>
      <c r="K425" s="2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25"/>
      <c r="K426" s="2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25"/>
      <c r="K427" s="2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25"/>
      <c r="K428" s="2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25"/>
      <c r="K429" s="2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25"/>
      <c r="K430" s="2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25"/>
      <c r="K431" s="2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25"/>
      <c r="K432" s="2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25"/>
      <c r="K433" s="2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25"/>
      <c r="K434" s="2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25"/>
      <c r="K435" s="2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25"/>
      <c r="K436" s="2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25"/>
      <c r="K437" s="2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25"/>
      <c r="K438" s="2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25"/>
      <c r="K439" s="2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25"/>
      <c r="K440" s="2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25"/>
      <c r="K441" s="2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25"/>
      <c r="K442" s="2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25"/>
      <c r="K443" s="2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25"/>
      <c r="K444" s="2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25"/>
      <c r="K445" s="2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25"/>
      <c r="K446" s="2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25"/>
      <c r="K447" s="2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25"/>
      <c r="K448" s="2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25"/>
      <c r="K449" s="2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25"/>
      <c r="K450" s="2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25"/>
      <c r="K451" s="2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25"/>
      <c r="K452" s="2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25"/>
      <c r="K453" s="2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25"/>
      <c r="K454" s="2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25"/>
      <c r="K455" s="2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25"/>
      <c r="K456" s="2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25"/>
      <c r="K457" s="2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25"/>
      <c r="K458" s="2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25"/>
      <c r="K459" s="2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25"/>
      <c r="K460" s="2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25"/>
      <c r="K461" s="2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25"/>
      <c r="K462" s="2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25"/>
      <c r="K463" s="2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25"/>
      <c r="K464" s="2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25"/>
      <c r="K465" s="2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25"/>
      <c r="K466" s="2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25"/>
      <c r="K467" s="2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25"/>
      <c r="K468" s="2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25"/>
      <c r="K469" s="2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25"/>
      <c r="K470" s="2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25"/>
      <c r="K471" s="2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25"/>
      <c r="K472" s="2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25"/>
      <c r="K473" s="2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25"/>
      <c r="K474" s="2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25"/>
      <c r="K475" s="2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25"/>
      <c r="K476" s="2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25"/>
      <c r="K477" s="2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25"/>
      <c r="K478" s="2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25"/>
      <c r="K479" s="2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25"/>
      <c r="K480" s="2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25"/>
      <c r="K481" s="2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25"/>
      <c r="K482" s="2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25"/>
      <c r="K483" s="2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25"/>
      <c r="K484" s="2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25"/>
      <c r="K485" s="2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25"/>
      <c r="K486" s="2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25"/>
      <c r="K487" s="2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25"/>
      <c r="K488" s="2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25"/>
      <c r="K489" s="2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25"/>
      <c r="K490" s="2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25"/>
      <c r="K491" s="2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25"/>
      <c r="K492" s="2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25"/>
      <c r="K493" s="2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25"/>
      <c r="K494" s="2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25"/>
      <c r="K495" s="2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25"/>
      <c r="K496" s="2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25"/>
      <c r="K497" s="2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25"/>
      <c r="K498" s="2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25"/>
      <c r="K499" s="2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25"/>
      <c r="K500" s="2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25"/>
      <c r="K501" s="2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25"/>
      <c r="K502" s="2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25"/>
      <c r="K503" s="2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25"/>
      <c r="K504" s="2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25"/>
      <c r="K505" s="2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25"/>
      <c r="K506" s="2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25"/>
      <c r="K507" s="2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25"/>
      <c r="K508" s="2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25"/>
      <c r="K509" s="2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25"/>
      <c r="K510" s="2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25"/>
      <c r="K511" s="2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25"/>
      <c r="K512" s="2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25"/>
      <c r="K513" s="2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25"/>
      <c r="K514" s="2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25"/>
      <c r="K515" s="2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25"/>
      <c r="K516" s="2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25"/>
      <c r="K517" s="2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25"/>
      <c r="K518" s="2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25"/>
      <c r="K519" s="2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25"/>
      <c r="K520" s="2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25"/>
      <c r="K521" s="2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25"/>
      <c r="K522" s="2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25"/>
      <c r="K523" s="2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25"/>
      <c r="K524" s="2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25"/>
      <c r="K525" s="2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25"/>
      <c r="K526" s="2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25"/>
      <c r="K527" s="2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25"/>
      <c r="K528" s="2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25"/>
      <c r="K529" s="2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25"/>
      <c r="K530" s="2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25"/>
      <c r="K531" s="2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25"/>
      <c r="K532" s="2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25"/>
      <c r="K533" s="2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25"/>
      <c r="K534" s="2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25"/>
      <c r="K535" s="2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25"/>
      <c r="K536" s="2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25"/>
      <c r="K537" s="2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25"/>
      <c r="K538" s="2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25"/>
      <c r="K539" s="2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25"/>
      <c r="K540" s="2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25"/>
      <c r="K541" s="2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25"/>
      <c r="K542" s="2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25"/>
      <c r="K543" s="2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25"/>
      <c r="K544" s="2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25"/>
      <c r="K545" s="2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25"/>
      <c r="K546" s="2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25"/>
      <c r="K547" s="2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25"/>
      <c r="K548" s="2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25"/>
      <c r="K549" s="2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25"/>
      <c r="K550" s="2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25"/>
      <c r="K551" s="2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25"/>
      <c r="K552" s="2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25"/>
      <c r="K553" s="2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25"/>
      <c r="K554" s="2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25"/>
      <c r="K555" s="2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25"/>
      <c r="K556" s="2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25"/>
      <c r="K557" s="2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25"/>
      <c r="K558" s="2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25"/>
      <c r="K559" s="2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25"/>
      <c r="K560" s="2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25"/>
      <c r="K561" s="2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25"/>
      <c r="K562" s="2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25"/>
      <c r="K563" s="2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25"/>
      <c r="K564" s="2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25"/>
      <c r="K565" s="2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25"/>
      <c r="K566" s="2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25"/>
      <c r="K567" s="2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25"/>
      <c r="K568" s="2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25"/>
      <c r="K569" s="2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25"/>
      <c r="K570" s="2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25"/>
      <c r="K571" s="2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25"/>
      <c r="K572" s="2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25"/>
      <c r="K573" s="2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25"/>
      <c r="K574" s="2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25"/>
      <c r="K575" s="2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25"/>
      <c r="K576" s="2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25"/>
      <c r="K577" s="2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25"/>
      <c r="K578" s="2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25"/>
      <c r="K579" s="2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25"/>
      <c r="K580" s="2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25"/>
      <c r="K581" s="2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25"/>
      <c r="K582" s="2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25"/>
      <c r="K583" s="2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25"/>
      <c r="K584" s="2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25"/>
      <c r="K585" s="2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25"/>
      <c r="K586" s="2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25"/>
      <c r="K587" s="2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25"/>
      <c r="K588" s="2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25"/>
      <c r="K589" s="2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25"/>
      <c r="K590" s="2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25"/>
      <c r="K591" s="2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25"/>
      <c r="K592" s="2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25"/>
      <c r="K593" s="2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25"/>
      <c r="K594" s="2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25"/>
      <c r="K595" s="2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25"/>
      <c r="K596" s="2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25"/>
      <c r="K597" s="2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25"/>
      <c r="K598" s="2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25"/>
      <c r="K599" s="2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25"/>
      <c r="K600" s="2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25"/>
      <c r="K601" s="2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25"/>
      <c r="K602" s="2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25"/>
      <c r="K603" s="2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25"/>
      <c r="K604" s="2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25"/>
      <c r="K605" s="2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25"/>
      <c r="K606" s="2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25"/>
      <c r="K607" s="2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25"/>
      <c r="K608" s="2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25"/>
      <c r="K609" s="2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25"/>
      <c r="K610" s="2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25"/>
      <c r="K611" s="2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25"/>
      <c r="K612" s="2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25"/>
      <c r="K613" s="2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25"/>
      <c r="K614" s="2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25"/>
      <c r="K615" s="2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25"/>
      <c r="K616" s="2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25"/>
      <c r="K617" s="2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25"/>
      <c r="K618" s="2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25"/>
      <c r="K619" s="2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25"/>
      <c r="K620" s="2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25"/>
      <c r="K621" s="2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25"/>
      <c r="K622" s="2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25"/>
      <c r="K623" s="2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25"/>
      <c r="K624" s="2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25"/>
      <c r="K625" s="2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25"/>
      <c r="K626" s="2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25"/>
      <c r="K627" s="2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25"/>
      <c r="K628" s="2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25"/>
      <c r="K629" s="2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25"/>
      <c r="K630" s="2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25"/>
      <c r="K631" s="2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25"/>
      <c r="K632" s="2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25"/>
      <c r="K633" s="2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25"/>
      <c r="K634" s="2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25"/>
      <c r="K635" s="2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25"/>
      <c r="K636" s="2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25"/>
      <c r="K637" s="2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25"/>
      <c r="K638" s="2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25"/>
      <c r="K639" s="2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25"/>
      <c r="K640" s="2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25"/>
      <c r="K641" s="2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25"/>
      <c r="K642" s="2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25"/>
      <c r="K643" s="2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25"/>
      <c r="K644" s="2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25"/>
      <c r="K645" s="2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25"/>
      <c r="K646" s="2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25"/>
      <c r="K647" s="2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25"/>
      <c r="K648" s="2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25"/>
      <c r="K649" s="2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25"/>
      <c r="K650" s="2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25"/>
      <c r="K651" s="2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25"/>
      <c r="K652" s="2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25"/>
      <c r="K653" s="2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25"/>
      <c r="K654" s="2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25"/>
      <c r="K655" s="2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25"/>
      <c r="K656" s="2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25"/>
      <c r="K657" s="2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25"/>
      <c r="K658" s="2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25"/>
      <c r="K659" s="2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25"/>
      <c r="K660" s="2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25"/>
      <c r="K661" s="2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25"/>
      <c r="K662" s="2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25"/>
      <c r="K663" s="2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25"/>
      <c r="K664" s="2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25"/>
      <c r="K665" s="2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25"/>
      <c r="K666" s="2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25"/>
      <c r="K667" s="2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25"/>
      <c r="K668" s="2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25"/>
      <c r="K669" s="2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25"/>
      <c r="K670" s="2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25"/>
      <c r="K671" s="2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25"/>
      <c r="K672" s="2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25"/>
      <c r="K673" s="2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25"/>
      <c r="K674" s="2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25"/>
      <c r="K675" s="2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25"/>
      <c r="K676" s="2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25"/>
      <c r="K677" s="2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25"/>
      <c r="K678" s="2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25"/>
      <c r="K679" s="2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25"/>
      <c r="K680" s="2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25"/>
      <c r="K681" s="2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25"/>
      <c r="K682" s="2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25"/>
      <c r="K683" s="2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25"/>
      <c r="K684" s="2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25"/>
      <c r="K685" s="2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25"/>
      <c r="K686" s="2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25"/>
      <c r="K687" s="2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25"/>
      <c r="K688" s="2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25"/>
      <c r="K689" s="2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25"/>
      <c r="K690" s="2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25"/>
      <c r="K691" s="2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25"/>
      <c r="K692" s="2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25"/>
      <c r="K693" s="2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25"/>
      <c r="K694" s="2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25"/>
      <c r="K695" s="2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25"/>
      <c r="K696" s="2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25"/>
      <c r="K697" s="2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25"/>
      <c r="K698" s="2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25"/>
      <c r="K699" s="2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25"/>
      <c r="K700" s="2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25"/>
      <c r="K701" s="2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25"/>
      <c r="K702" s="2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25"/>
      <c r="K703" s="2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25"/>
      <c r="K704" s="2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25"/>
      <c r="K705" s="2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25"/>
      <c r="K706" s="2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25"/>
      <c r="K707" s="2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25"/>
      <c r="K708" s="2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25"/>
      <c r="K709" s="2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25"/>
      <c r="K710" s="2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25"/>
      <c r="K711" s="2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25"/>
      <c r="K712" s="2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25"/>
      <c r="K713" s="2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25"/>
      <c r="K714" s="2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25"/>
      <c r="K715" s="2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25"/>
      <c r="K716" s="2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25"/>
      <c r="K717" s="2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25"/>
      <c r="K718" s="2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25"/>
      <c r="K719" s="2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25"/>
      <c r="K720" s="2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25"/>
      <c r="K721" s="2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25"/>
      <c r="K722" s="2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25"/>
      <c r="K723" s="2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25"/>
      <c r="K724" s="2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25"/>
      <c r="K725" s="2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25"/>
      <c r="K726" s="2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25"/>
      <c r="K727" s="2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25"/>
      <c r="K728" s="2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25"/>
      <c r="K729" s="2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25"/>
      <c r="K730" s="2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25"/>
      <c r="K731" s="2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25"/>
      <c r="K732" s="2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25"/>
      <c r="K733" s="2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25"/>
      <c r="K734" s="2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25"/>
      <c r="K735" s="2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25"/>
      <c r="K736" s="2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25"/>
      <c r="K737" s="2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25"/>
      <c r="K738" s="2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25"/>
      <c r="K739" s="2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25"/>
      <c r="K740" s="2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25"/>
      <c r="K741" s="2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25"/>
      <c r="K742" s="2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25"/>
      <c r="K743" s="2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25"/>
      <c r="K744" s="2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25"/>
      <c r="K745" s="2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25"/>
      <c r="K746" s="2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25"/>
      <c r="K747" s="2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25"/>
      <c r="K748" s="2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25"/>
      <c r="K749" s="2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25"/>
      <c r="K750" s="2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25"/>
      <c r="K751" s="2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25"/>
      <c r="K752" s="2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25"/>
      <c r="K753" s="2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25"/>
      <c r="K754" s="2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25"/>
      <c r="K755" s="2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25"/>
      <c r="K756" s="2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25"/>
      <c r="K757" s="2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25"/>
      <c r="K758" s="2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25"/>
      <c r="K759" s="2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25"/>
      <c r="K760" s="2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25"/>
      <c r="K761" s="2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25"/>
      <c r="K762" s="2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25"/>
      <c r="K763" s="2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25"/>
      <c r="K764" s="2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25"/>
      <c r="K765" s="2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25"/>
      <c r="K766" s="2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25"/>
      <c r="K767" s="2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25"/>
      <c r="K768" s="2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25"/>
      <c r="K769" s="2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25"/>
      <c r="K770" s="2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25"/>
      <c r="K771" s="2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25"/>
      <c r="K772" s="2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25"/>
      <c r="K773" s="2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25"/>
      <c r="K774" s="2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25"/>
      <c r="K775" s="2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25"/>
      <c r="K776" s="2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25"/>
      <c r="K777" s="2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25"/>
      <c r="K778" s="2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25"/>
      <c r="K779" s="2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25"/>
      <c r="K780" s="2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25"/>
      <c r="K781" s="2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25"/>
      <c r="K782" s="2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25"/>
      <c r="K783" s="2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25"/>
      <c r="K784" s="2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25"/>
      <c r="K785" s="2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25"/>
      <c r="K786" s="2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25"/>
      <c r="K787" s="2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25"/>
      <c r="K788" s="2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25"/>
      <c r="K789" s="2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25"/>
      <c r="K790" s="2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25"/>
      <c r="K791" s="2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25"/>
      <c r="K792" s="2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25"/>
      <c r="K793" s="2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25"/>
      <c r="K794" s="2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25"/>
      <c r="K795" s="2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25"/>
      <c r="K796" s="2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25"/>
      <c r="K797" s="2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25"/>
      <c r="K798" s="2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25"/>
      <c r="K799" s="2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25"/>
      <c r="K800" s="2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25"/>
      <c r="K801" s="2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25"/>
      <c r="K802" s="2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25"/>
      <c r="K803" s="2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25"/>
      <c r="K804" s="2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25"/>
      <c r="K805" s="2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25"/>
      <c r="K806" s="2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25"/>
      <c r="K807" s="2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25"/>
      <c r="K808" s="2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25"/>
      <c r="K809" s="2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25"/>
      <c r="K810" s="2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25"/>
      <c r="K811" s="2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25"/>
      <c r="K812" s="2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25"/>
      <c r="K813" s="2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25"/>
      <c r="K814" s="2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25"/>
      <c r="K815" s="2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25"/>
      <c r="K816" s="2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25"/>
      <c r="K817" s="2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25"/>
      <c r="K818" s="2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25"/>
      <c r="K819" s="2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25"/>
      <c r="K820" s="2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25"/>
      <c r="K821" s="2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25"/>
      <c r="K822" s="2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25"/>
      <c r="K823" s="2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25"/>
      <c r="K824" s="2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25"/>
      <c r="K825" s="2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25"/>
      <c r="K826" s="2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25"/>
      <c r="K827" s="2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25"/>
      <c r="K828" s="2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25"/>
      <c r="K829" s="2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25"/>
      <c r="K830" s="2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25"/>
      <c r="K831" s="2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25"/>
      <c r="K832" s="2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25"/>
      <c r="K833" s="2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25"/>
      <c r="K834" s="2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25"/>
      <c r="K835" s="2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25"/>
      <c r="K836" s="2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25"/>
      <c r="K837" s="2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25"/>
      <c r="K838" s="2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25"/>
      <c r="K839" s="2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25"/>
      <c r="K840" s="2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25"/>
      <c r="K841" s="2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25"/>
      <c r="K842" s="2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25"/>
      <c r="K843" s="2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25"/>
      <c r="K844" s="2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25"/>
      <c r="K845" s="2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25"/>
      <c r="K846" s="2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25"/>
      <c r="K847" s="2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25"/>
      <c r="K848" s="2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25"/>
      <c r="K849" s="2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25"/>
      <c r="K850" s="2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25"/>
      <c r="K851" s="2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25"/>
      <c r="K852" s="2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25"/>
      <c r="K853" s="2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25"/>
      <c r="K854" s="2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25"/>
      <c r="K855" s="2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25"/>
      <c r="K856" s="2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25"/>
      <c r="K857" s="2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25"/>
      <c r="K858" s="2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25"/>
      <c r="K859" s="2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25"/>
      <c r="K860" s="2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25"/>
      <c r="K861" s="2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25"/>
      <c r="K862" s="2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25"/>
      <c r="K863" s="2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25"/>
      <c r="K864" s="2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25"/>
      <c r="K865" s="2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25"/>
      <c r="K866" s="2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25"/>
      <c r="K867" s="2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25"/>
      <c r="K868" s="2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25"/>
      <c r="K869" s="2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25"/>
      <c r="K870" s="2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25"/>
      <c r="K871" s="2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25"/>
      <c r="K872" s="2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25"/>
      <c r="K873" s="2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25"/>
      <c r="K874" s="2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25"/>
      <c r="K875" s="2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25"/>
      <c r="K876" s="2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25"/>
      <c r="K877" s="2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25"/>
      <c r="K878" s="2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25"/>
      <c r="K879" s="2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25"/>
      <c r="K880" s="2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25"/>
      <c r="K881" s="2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25"/>
      <c r="K882" s="2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25"/>
      <c r="K883" s="2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25"/>
      <c r="K884" s="2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25"/>
      <c r="K885" s="2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25"/>
      <c r="K886" s="2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25"/>
      <c r="K887" s="2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25"/>
      <c r="K888" s="2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25"/>
      <c r="K889" s="2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25"/>
      <c r="K890" s="2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25"/>
      <c r="K891" s="2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25"/>
      <c r="K892" s="2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25"/>
      <c r="K893" s="2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25"/>
      <c r="K894" s="2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25"/>
      <c r="K895" s="2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25"/>
      <c r="K896" s="2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25"/>
      <c r="K897" s="2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25"/>
      <c r="K898" s="2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25"/>
      <c r="K899" s="2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25"/>
      <c r="K900" s="2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25"/>
      <c r="K901" s="2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25"/>
      <c r="K902" s="2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25"/>
      <c r="K903" s="2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25"/>
      <c r="K904" s="2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25"/>
      <c r="K905" s="2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25"/>
      <c r="K906" s="2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25"/>
      <c r="K907" s="2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25"/>
      <c r="K908" s="2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25"/>
      <c r="K909" s="2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25"/>
      <c r="K910" s="2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25"/>
      <c r="K911" s="2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25"/>
      <c r="K912" s="2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25"/>
      <c r="K913" s="2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25"/>
      <c r="K914" s="2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25"/>
      <c r="K915" s="2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25"/>
      <c r="K916" s="2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25"/>
      <c r="K917" s="2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25"/>
      <c r="K918" s="2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25"/>
      <c r="K919" s="2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25"/>
      <c r="K920" s="2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25"/>
      <c r="K921" s="2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25"/>
      <c r="K922" s="2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25"/>
      <c r="K923" s="2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25"/>
      <c r="K924" s="2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25"/>
      <c r="K925" s="2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25"/>
      <c r="K926" s="2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25"/>
      <c r="K927" s="2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25"/>
      <c r="K928" s="2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25"/>
      <c r="K929" s="2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25"/>
      <c r="K930" s="2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25"/>
      <c r="K931" s="2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25"/>
      <c r="K932" s="2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25"/>
      <c r="K933" s="2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25"/>
      <c r="K934" s="2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25"/>
      <c r="K935" s="2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25"/>
      <c r="K936" s="2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25"/>
      <c r="K937" s="2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25"/>
      <c r="K938" s="2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25"/>
      <c r="K939" s="2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25"/>
      <c r="K940" s="2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25"/>
      <c r="K941" s="2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25"/>
      <c r="K942" s="2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25"/>
      <c r="K943" s="2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25"/>
      <c r="K944" s="2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25"/>
      <c r="K945" s="2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25"/>
      <c r="K946" s="2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25"/>
      <c r="K947" s="2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25"/>
      <c r="K948" s="2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25"/>
      <c r="K949" s="2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25"/>
      <c r="K950" s="2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25"/>
      <c r="K951" s="2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25"/>
      <c r="K952" s="2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25"/>
      <c r="K953" s="2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25"/>
      <c r="K954" s="2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25"/>
      <c r="K955" s="2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25"/>
      <c r="K956" s="2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25"/>
      <c r="K957" s="2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25"/>
      <c r="K958" s="2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25"/>
      <c r="K959" s="2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25"/>
      <c r="K960" s="2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25"/>
      <c r="K961" s="2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25"/>
      <c r="K962" s="2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25"/>
      <c r="K963" s="2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25"/>
      <c r="K964" s="2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25"/>
      <c r="K965" s="2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25"/>
      <c r="K966" s="2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25"/>
      <c r="K967" s="2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25"/>
      <c r="K968" s="2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25"/>
      <c r="K969" s="2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25"/>
      <c r="K970" s="2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25"/>
      <c r="K971" s="2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25"/>
      <c r="K972" s="2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25"/>
      <c r="K973" s="2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25"/>
      <c r="K974" s="2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25"/>
      <c r="K975" s="2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25"/>
      <c r="K976" s="2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25"/>
      <c r="K977" s="2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25"/>
      <c r="K978" s="2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25"/>
      <c r="K979" s="2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25"/>
      <c r="K980" s="2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25"/>
      <c r="K981" s="2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25"/>
      <c r="K982" s="2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25"/>
      <c r="K983" s="2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25"/>
      <c r="K984" s="2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25"/>
      <c r="K985" s="2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25"/>
      <c r="K986" s="2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mergeCells count="30">
    <mergeCell ref="B5:C5"/>
    <mergeCell ref="D5:I5"/>
    <mergeCell ref="B2:E2"/>
    <mergeCell ref="F2:K2"/>
    <mergeCell ref="B3:K3"/>
    <mergeCell ref="B4:C4"/>
    <mergeCell ref="D4:I4"/>
    <mergeCell ref="B6:C6"/>
    <mergeCell ref="D6:I6"/>
    <mergeCell ref="J6:J7"/>
    <mergeCell ref="K6:K7"/>
    <mergeCell ref="B7:C7"/>
    <mergeCell ref="D7:I7"/>
    <mergeCell ref="B9:K9"/>
    <mergeCell ref="B10:C13"/>
    <mergeCell ref="D10:D13"/>
    <mergeCell ref="E10:I10"/>
    <mergeCell ref="J10:K10"/>
    <mergeCell ref="F11:G11"/>
    <mergeCell ref="H11:I11"/>
    <mergeCell ref="J11:K13"/>
    <mergeCell ref="E12:G12"/>
    <mergeCell ref="H12:I12"/>
    <mergeCell ref="B18:K18"/>
    <mergeCell ref="B14:C14"/>
    <mergeCell ref="J14:K14"/>
    <mergeCell ref="B15:C15"/>
    <mergeCell ref="J15:K15"/>
    <mergeCell ref="B16:C16"/>
    <mergeCell ref="J16:K16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86"/>
  <sheetViews>
    <sheetView tabSelected="1" topLeftCell="A2" zoomScale="80" zoomScaleNormal="80" workbookViewId="0">
      <selection activeCell="G14" sqref="G14"/>
    </sheetView>
  </sheetViews>
  <sheetFormatPr defaultColWidth="14.42578125" defaultRowHeight="15" customHeight="1"/>
  <cols>
    <col min="1" max="1" width="6.28515625" style="6" customWidth="1"/>
    <col min="2" max="2" width="16.7109375" style="6" customWidth="1"/>
    <col min="3" max="3" width="6" style="6" customWidth="1"/>
    <col min="4" max="4" width="21.28515625" style="6" customWidth="1"/>
    <col min="5" max="10" width="23.85546875" style="6" customWidth="1"/>
    <col min="11" max="11" width="12.5703125" style="6" customWidth="1"/>
    <col min="12" max="12" width="18.140625" style="6" customWidth="1"/>
    <col min="13" max="16384" width="14.42578125" style="6"/>
  </cols>
  <sheetData>
    <row r="1" spans="1:27" ht="14.25" customHeight="1">
      <c r="A1" s="3"/>
      <c r="B1" s="4"/>
      <c r="C1" s="4"/>
      <c r="D1" s="4"/>
      <c r="E1" s="4"/>
      <c r="F1" s="5"/>
      <c r="G1" s="5"/>
      <c r="H1" s="5"/>
      <c r="I1" s="5"/>
      <c r="J1" s="5"/>
      <c r="K1" s="5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72" customHeight="1">
      <c r="A2" s="3"/>
      <c r="B2" s="73"/>
      <c r="C2" s="103"/>
      <c r="D2" s="103"/>
      <c r="E2" s="103"/>
      <c r="F2" s="74" t="s">
        <v>49</v>
      </c>
      <c r="G2" s="74"/>
      <c r="H2" s="74"/>
      <c r="I2" s="74"/>
      <c r="J2" s="74"/>
      <c r="K2" s="74"/>
      <c r="L2" s="74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>
      <c r="A3" s="3"/>
      <c r="B3" s="75"/>
      <c r="C3" s="75"/>
      <c r="D3" s="76"/>
      <c r="E3" s="76"/>
      <c r="F3" s="76"/>
      <c r="G3" s="76"/>
      <c r="H3" s="76"/>
      <c r="I3" s="76"/>
      <c r="J3" s="76"/>
      <c r="K3" s="75"/>
      <c r="L3" s="75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2.5" customHeight="1">
      <c r="A4" s="3"/>
      <c r="B4" s="77" t="s">
        <v>1</v>
      </c>
      <c r="C4" s="110"/>
      <c r="D4" s="67" t="str">
        <f>+'Momento I'!D4</f>
        <v>Ingenieria de Software</v>
      </c>
      <c r="E4" s="107"/>
      <c r="F4" s="107"/>
      <c r="G4" s="107"/>
      <c r="H4" s="107"/>
      <c r="I4" s="107"/>
      <c r="J4" s="107"/>
      <c r="K4" s="26" t="s">
        <v>3</v>
      </c>
      <c r="L4" s="27" t="str">
        <f>'Momento I'!K4</f>
        <v xml:space="preserve">Pregrado </v>
      </c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2.5" customHeight="1">
      <c r="A5" s="3"/>
      <c r="B5" s="72" t="s">
        <v>5</v>
      </c>
      <c r="C5" s="106"/>
      <c r="D5" s="67" t="str">
        <f>+'Momento I'!D5</f>
        <v xml:space="preserve">Estadística Descriptiva </v>
      </c>
      <c r="E5" s="107"/>
      <c r="F5" s="107"/>
      <c r="G5" s="107"/>
      <c r="H5" s="107"/>
      <c r="I5" s="107"/>
      <c r="J5" s="107"/>
      <c r="K5" s="28" t="s">
        <v>7</v>
      </c>
      <c r="L5" s="27">
        <f>'Momento I'!K5</f>
        <v>3</v>
      </c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49.9" customHeight="1">
      <c r="A6" s="3"/>
      <c r="B6" s="66" t="s">
        <v>8</v>
      </c>
      <c r="C6" s="106"/>
      <c r="D6" s="67" t="str">
        <f>+'Momento I'!D6</f>
        <v>Intervenir en la solución de problemas que involucren información cuantitativa y esquemática desde el diseño y la ejecución de planes y estrategias que lleven a soluciones adecuadas. </v>
      </c>
      <c r="E6" s="107"/>
      <c r="F6" s="107"/>
      <c r="G6" s="107"/>
      <c r="H6" s="107"/>
      <c r="I6" s="107"/>
      <c r="J6" s="107"/>
      <c r="K6" s="68" t="s">
        <v>10</v>
      </c>
      <c r="L6" s="70" t="s">
        <v>11</v>
      </c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6" customHeight="1">
      <c r="A7" s="3"/>
      <c r="B7" s="66" t="s">
        <v>12</v>
      </c>
      <c r="C7" s="106"/>
      <c r="D7" s="67" t="str">
        <f>+'Momento I'!D7</f>
        <v>Resuelve problemas relacionados con el análisis e interpretación de datos para apoyar la toma de decisiones teniendo en cuenta los fundamentos y técnicas de la estadística descriptiva.</v>
      </c>
      <c r="E7" s="107"/>
      <c r="F7" s="107"/>
      <c r="G7" s="107"/>
      <c r="H7" s="107"/>
      <c r="I7" s="107"/>
      <c r="J7" s="107"/>
      <c r="K7" s="69"/>
      <c r="L7" s="71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31.5" customHeight="1">
      <c r="A9" s="3"/>
      <c r="B9" s="60" t="s">
        <v>14</v>
      </c>
      <c r="C9" s="60"/>
      <c r="D9" s="60"/>
      <c r="E9" s="60"/>
      <c r="F9" s="60"/>
      <c r="G9" s="60"/>
      <c r="H9" s="60"/>
      <c r="I9" s="60"/>
      <c r="J9" s="60"/>
      <c r="K9" s="60"/>
      <c r="L9" s="60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32.25" customHeight="1">
      <c r="A10" s="3"/>
      <c r="B10" s="61" t="s">
        <v>15</v>
      </c>
      <c r="C10" s="109"/>
      <c r="D10" s="61" t="s">
        <v>16</v>
      </c>
      <c r="E10" s="61" t="s">
        <v>17</v>
      </c>
      <c r="F10" s="109"/>
      <c r="G10" s="109"/>
      <c r="H10" s="109"/>
      <c r="I10" s="109"/>
      <c r="J10" s="109"/>
      <c r="K10" s="62" t="s">
        <v>50</v>
      </c>
      <c r="L10" s="6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 customHeight="1">
      <c r="A11" s="3"/>
      <c r="B11" s="109"/>
      <c r="C11" s="109"/>
      <c r="D11" s="109"/>
      <c r="E11" s="29" t="s">
        <v>19</v>
      </c>
      <c r="F11" s="63" t="s">
        <v>20</v>
      </c>
      <c r="G11" s="63"/>
      <c r="H11" s="63" t="s">
        <v>21</v>
      </c>
      <c r="I11" s="63"/>
      <c r="J11" s="29" t="s">
        <v>51</v>
      </c>
      <c r="K11" s="62" t="s">
        <v>52</v>
      </c>
      <c r="L11" s="6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>
      <c r="A12" s="3"/>
      <c r="B12" s="109"/>
      <c r="C12" s="109"/>
      <c r="D12" s="109"/>
      <c r="E12" s="64" t="s">
        <v>23</v>
      </c>
      <c r="F12" s="109"/>
      <c r="G12" s="109"/>
      <c r="H12" s="65" t="s">
        <v>24</v>
      </c>
      <c r="I12" s="109"/>
      <c r="J12" s="109"/>
      <c r="K12" s="62"/>
      <c r="L12" s="6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28.9" customHeight="1">
      <c r="A13" s="3"/>
      <c r="B13" s="109"/>
      <c r="C13" s="109"/>
      <c r="D13" s="109"/>
      <c r="E13" s="29" t="s">
        <v>53</v>
      </c>
      <c r="F13" s="29" t="s">
        <v>54</v>
      </c>
      <c r="G13" s="29" t="s">
        <v>55</v>
      </c>
      <c r="H13" s="29" t="s">
        <v>56</v>
      </c>
      <c r="I13" s="29" t="s">
        <v>57</v>
      </c>
      <c r="J13" s="29" t="s">
        <v>58</v>
      </c>
      <c r="K13" s="62"/>
      <c r="L13" s="6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96" customHeight="1">
      <c r="A14" s="3"/>
      <c r="B14" s="54" t="s">
        <v>30</v>
      </c>
      <c r="C14" s="55"/>
      <c r="D14" s="30" t="str">
        <f>'Momento I'!D14</f>
        <v>Expone planteamientos estadísticos formales de una situación problema.</v>
      </c>
      <c r="E14" s="31" t="s">
        <v>59</v>
      </c>
      <c r="F14" s="31" t="s">
        <v>60</v>
      </c>
      <c r="G14" s="31" t="s">
        <v>61</v>
      </c>
      <c r="H14" s="30" t="str">
        <f>D14</f>
        <v>Expone planteamientos estadísticos formales de una situación problema.</v>
      </c>
      <c r="I14" s="31" t="s">
        <v>62</v>
      </c>
      <c r="J14" s="15" t="s">
        <v>63</v>
      </c>
      <c r="K14" s="56"/>
      <c r="L14" s="56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s="36" customFormat="1" ht="115.5" customHeight="1">
      <c r="A15" s="32"/>
      <c r="B15" s="57" t="s">
        <v>36</v>
      </c>
      <c r="C15" s="58"/>
      <c r="D15" s="33" t="str">
        <f>'Momento I'!D15</f>
        <v>Analiza variables relacionadas con un problema estadístico</v>
      </c>
      <c r="E15" s="1" t="s">
        <v>38</v>
      </c>
      <c r="F15" s="34" t="s">
        <v>64</v>
      </c>
      <c r="G15" s="34" t="s">
        <v>65</v>
      </c>
      <c r="H15" s="30" t="str">
        <f>D15</f>
        <v>Analiza variables relacionadas con un problema estadístico</v>
      </c>
      <c r="I15" s="15" t="s">
        <v>41</v>
      </c>
      <c r="J15" s="47" t="s">
        <v>66</v>
      </c>
      <c r="K15" s="59"/>
      <c r="L15" s="59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s="36" customFormat="1" ht="114" customHeight="1">
      <c r="A16" s="32"/>
      <c r="B16" s="57" t="s">
        <v>42</v>
      </c>
      <c r="C16" s="58"/>
      <c r="D16" s="33" t="str">
        <f>'Momento I'!D16</f>
        <v>Propone soluciones basadas en el análisis de datos y representaciones de estos.</v>
      </c>
      <c r="E16" s="34" t="s">
        <v>67</v>
      </c>
      <c r="F16" s="34" t="s">
        <v>68</v>
      </c>
      <c r="G16" s="34" t="s">
        <v>69</v>
      </c>
      <c r="H16" s="30" t="str">
        <f>D16</f>
        <v>Propone soluciones basadas en el análisis de datos y representaciones de estos.</v>
      </c>
      <c r="I16" s="34" t="s">
        <v>47</v>
      </c>
      <c r="J16" s="35" t="s">
        <v>70</v>
      </c>
      <c r="K16" s="56"/>
      <c r="L16" s="56"/>
      <c r="M16" s="32"/>
      <c r="N16" s="32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>
      <c r="A17" s="3"/>
      <c r="B17" s="18"/>
      <c r="C17" s="18"/>
      <c r="D17" s="19"/>
      <c r="E17" s="19"/>
      <c r="F17" s="19"/>
      <c r="G17" s="19"/>
      <c r="H17" s="19"/>
      <c r="I17" s="19"/>
      <c r="J17" s="19"/>
      <c r="K17" s="20"/>
      <c r="L17" s="3"/>
      <c r="M17" s="3"/>
      <c r="N17" s="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33" customHeight="1">
      <c r="A18" s="3"/>
      <c r="B18" s="53" t="s">
        <v>48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21"/>
      <c r="N18" s="21"/>
      <c r="O18" s="21"/>
      <c r="P18" s="21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>
      <c r="A19" s="19"/>
      <c r="B19" s="38"/>
      <c r="C19" s="19"/>
      <c r="D19" s="19"/>
      <c r="E19" s="19"/>
      <c r="F19" s="19"/>
      <c r="G19" s="19"/>
      <c r="H19" s="19"/>
      <c r="I19" s="19"/>
      <c r="J19" s="19"/>
      <c r="K19" s="20"/>
      <c r="L19" s="21"/>
      <c r="M19" s="21"/>
      <c r="N19" s="21"/>
      <c r="O19" s="21"/>
      <c r="P19" s="21"/>
      <c r="Q19" s="21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>
      <c r="C20" s="3"/>
      <c r="D20" s="3"/>
      <c r="E20" s="3"/>
      <c r="F20" s="3"/>
      <c r="G20" s="3"/>
      <c r="H20" s="23"/>
      <c r="I20" s="23"/>
      <c r="J20" s="23"/>
      <c r="K20" s="23"/>
      <c r="L20" s="3"/>
      <c r="M20" s="3"/>
      <c r="N20" s="3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>
      <c r="A21" s="3"/>
      <c r="B21" s="3"/>
      <c r="C21" s="3"/>
      <c r="D21" s="3"/>
      <c r="E21" s="3"/>
      <c r="F21" s="3"/>
      <c r="G21" s="3"/>
      <c r="H21" s="23"/>
      <c r="I21" s="23"/>
      <c r="J21" s="23"/>
      <c r="K21" s="23"/>
      <c r="L21" s="3"/>
      <c r="M21" s="3"/>
      <c r="N21" s="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>
      <c r="A22" s="3"/>
      <c r="B22" s="3"/>
      <c r="C22" s="3"/>
      <c r="D22" s="3"/>
      <c r="E22" s="3"/>
      <c r="F22" s="3"/>
      <c r="G22" s="3"/>
      <c r="H22" s="24"/>
      <c r="I22" s="24"/>
      <c r="J22" s="24"/>
      <c r="K22" s="24"/>
      <c r="L22" s="3"/>
      <c r="M22" s="3"/>
      <c r="N22" s="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>
      <c r="A23" s="3"/>
      <c r="B23" s="3"/>
      <c r="C23" s="3"/>
      <c r="D23" s="3"/>
      <c r="E23" s="3"/>
      <c r="F23" s="3"/>
      <c r="G23" s="3"/>
      <c r="H23" s="24"/>
      <c r="I23" s="24"/>
      <c r="J23" s="24"/>
      <c r="K23" s="24"/>
      <c r="L23" s="3"/>
      <c r="M23" s="3"/>
      <c r="N23" s="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>
      <c r="A24" s="3"/>
      <c r="B24" s="3"/>
      <c r="C24" s="3"/>
      <c r="D24" s="3"/>
      <c r="E24" s="3"/>
      <c r="F24" s="3"/>
      <c r="G24" s="3"/>
      <c r="H24" s="24"/>
      <c r="I24" s="24"/>
      <c r="J24" s="24"/>
      <c r="K24" s="24"/>
      <c r="L24" s="3"/>
      <c r="M24" s="3"/>
      <c r="N24" s="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>
      <c r="A25" s="3"/>
      <c r="B25" s="3"/>
      <c r="C25" s="3"/>
      <c r="D25" s="3"/>
      <c r="E25" s="3"/>
      <c r="F25" s="3"/>
      <c r="G25" s="3"/>
      <c r="H25" s="24"/>
      <c r="I25" s="24"/>
      <c r="J25" s="24"/>
      <c r="K25" s="24"/>
      <c r="L25" s="3"/>
      <c r="M25" s="3"/>
      <c r="N25" s="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>
      <c r="A26" s="3"/>
      <c r="B26" s="3"/>
      <c r="C26" s="3"/>
      <c r="D26" s="3"/>
      <c r="E26" s="3"/>
      <c r="F26" s="3"/>
      <c r="G26" s="3"/>
      <c r="H26" s="24"/>
      <c r="I26" s="24"/>
      <c r="J26" s="24"/>
      <c r="K26" s="24"/>
      <c r="L26" s="3"/>
      <c r="M26" s="3"/>
      <c r="N26" s="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>
      <c r="A27" s="3"/>
      <c r="B27" s="3"/>
      <c r="C27" s="3"/>
      <c r="D27" s="3"/>
      <c r="E27" s="3"/>
      <c r="F27" s="3"/>
      <c r="G27" s="3"/>
      <c r="H27" s="24"/>
      <c r="I27" s="24"/>
      <c r="J27" s="24"/>
      <c r="K27" s="24"/>
      <c r="L27" s="3"/>
      <c r="M27" s="3"/>
      <c r="N27" s="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>
      <c r="A28" s="3"/>
      <c r="B28" s="3"/>
      <c r="C28" s="3"/>
      <c r="D28" s="3"/>
      <c r="E28" s="3"/>
      <c r="F28" s="3"/>
      <c r="G28" s="3"/>
      <c r="H28" s="24"/>
      <c r="I28" s="24"/>
      <c r="J28" s="24"/>
      <c r="K28" s="24"/>
      <c r="L28" s="3"/>
      <c r="M28" s="3"/>
      <c r="N28" s="3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>
      <c r="A29" s="3"/>
      <c r="B29" s="3"/>
      <c r="C29" s="3"/>
      <c r="D29" s="3"/>
      <c r="E29" s="3"/>
      <c r="F29" s="3"/>
      <c r="G29" s="3"/>
      <c r="H29" s="24"/>
      <c r="I29" s="24"/>
      <c r="J29" s="24"/>
      <c r="K29" s="24"/>
      <c r="L29" s="3"/>
      <c r="M29" s="3"/>
      <c r="N29" s="3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>
      <c r="A30" s="3"/>
      <c r="B30" s="3"/>
      <c r="C30" s="3"/>
      <c r="D30" s="3"/>
      <c r="E30" s="3"/>
      <c r="F30" s="3"/>
      <c r="G30" s="3"/>
      <c r="H30" s="24"/>
      <c r="I30" s="24"/>
      <c r="J30" s="24"/>
      <c r="K30" s="24"/>
      <c r="L30" s="3"/>
      <c r="M30" s="3"/>
      <c r="N30" s="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>
      <c r="A31" s="3"/>
      <c r="B31" s="3"/>
      <c r="C31" s="3"/>
      <c r="D31" s="3"/>
      <c r="E31" s="3"/>
      <c r="F31" s="3"/>
      <c r="G31" s="3"/>
      <c r="H31" s="24"/>
      <c r="I31" s="24"/>
      <c r="J31" s="24"/>
      <c r="K31" s="24"/>
      <c r="L31" s="3"/>
      <c r="M31" s="3"/>
      <c r="N31" s="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>
      <c r="A32" s="3"/>
      <c r="B32" s="3"/>
      <c r="C32" s="3"/>
      <c r="D32" s="3"/>
      <c r="E32" s="3"/>
      <c r="F32" s="3"/>
      <c r="G32" s="3"/>
      <c r="H32" s="24"/>
      <c r="I32" s="24"/>
      <c r="J32" s="24"/>
      <c r="K32" s="24"/>
      <c r="L32" s="3"/>
      <c r="M32" s="3"/>
      <c r="N32" s="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>
      <c r="A33" s="3"/>
      <c r="B33" s="3"/>
      <c r="C33" s="3"/>
      <c r="D33" s="3"/>
      <c r="E33" s="3"/>
      <c r="F33" s="3"/>
      <c r="G33" s="3"/>
      <c r="H33" s="24"/>
      <c r="I33" s="24"/>
      <c r="J33" s="24"/>
      <c r="K33" s="24"/>
      <c r="L33" s="3"/>
      <c r="M33" s="3"/>
      <c r="N33" s="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>
      <c r="A34" s="3"/>
      <c r="B34" s="3"/>
      <c r="C34" s="3"/>
      <c r="D34" s="3"/>
      <c r="E34" s="3"/>
      <c r="F34" s="3"/>
      <c r="G34" s="3"/>
      <c r="H34" s="24"/>
      <c r="I34" s="24"/>
      <c r="J34" s="24"/>
      <c r="K34" s="24"/>
      <c r="L34" s="3"/>
      <c r="M34" s="3"/>
      <c r="N34" s="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>
      <c r="A35" s="3"/>
      <c r="B35" s="3"/>
      <c r="C35" s="3"/>
      <c r="D35" s="3"/>
      <c r="E35" s="3"/>
      <c r="F35" s="3"/>
      <c r="G35" s="3"/>
      <c r="H35" s="24"/>
      <c r="I35" s="24"/>
      <c r="J35" s="24"/>
      <c r="K35" s="24"/>
      <c r="L35" s="3"/>
      <c r="M35" s="3"/>
      <c r="N35" s="3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3"/>
      <c r="B36" s="3"/>
      <c r="C36" s="3"/>
      <c r="D36" s="3"/>
      <c r="E36" s="3"/>
      <c r="F36" s="3"/>
      <c r="G36" s="3"/>
      <c r="H36" s="24"/>
      <c r="I36" s="24"/>
      <c r="J36" s="24"/>
      <c r="K36" s="24"/>
      <c r="L36" s="3"/>
      <c r="M36" s="3"/>
      <c r="N36" s="3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>
      <c r="A37" s="3"/>
      <c r="B37" s="3"/>
      <c r="C37" s="3"/>
      <c r="D37" s="3"/>
      <c r="E37" s="3"/>
      <c r="F37" s="3"/>
      <c r="G37" s="3"/>
      <c r="H37" s="24"/>
      <c r="I37" s="24"/>
      <c r="J37" s="24"/>
      <c r="K37" s="24"/>
      <c r="L37" s="3"/>
      <c r="M37" s="3"/>
      <c r="N37" s="3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>
      <c r="A38" s="3"/>
      <c r="B38" s="3"/>
      <c r="C38" s="3"/>
      <c r="D38" s="3"/>
      <c r="E38" s="3"/>
      <c r="F38" s="3"/>
      <c r="G38" s="3"/>
      <c r="H38" s="24"/>
      <c r="I38" s="24"/>
      <c r="J38" s="24"/>
      <c r="K38" s="24"/>
      <c r="L38" s="3"/>
      <c r="M38" s="3"/>
      <c r="N38" s="3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>
      <c r="A39" s="3"/>
      <c r="B39" s="3"/>
      <c r="C39" s="3"/>
      <c r="D39" s="3"/>
      <c r="E39" s="3"/>
      <c r="F39" s="3"/>
      <c r="G39" s="3"/>
      <c r="H39" s="24"/>
      <c r="I39" s="24"/>
      <c r="J39" s="24"/>
      <c r="K39" s="24"/>
      <c r="L39" s="3"/>
      <c r="M39" s="3"/>
      <c r="N39" s="3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>
      <c r="A40" s="3"/>
      <c r="B40" s="3"/>
      <c r="C40" s="3"/>
      <c r="D40" s="3"/>
      <c r="E40" s="3"/>
      <c r="F40" s="3"/>
      <c r="G40" s="3"/>
      <c r="H40" s="24"/>
      <c r="I40" s="24"/>
      <c r="J40" s="24"/>
      <c r="K40" s="24"/>
      <c r="L40" s="3"/>
      <c r="M40" s="3"/>
      <c r="N40" s="3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>
      <c r="A41" s="3"/>
      <c r="B41" s="3"/>
      <c r="C41" s="3"/>
      <c r="D41" s="3"/>
      <c r="E41" s="3"/>
      <c r="F41" s="3"/>
      <c r="G41" s="3"/>
      <c r="H41" s="24"/>
      <c r="I41" s="24"/>
      <c r="J41" s="24"/>
      <c r="K41" s="24"/>
      <c r="L41" s="3"/>
      <c r="M41" s="3"/>
      <c r="N41" s="3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>
      <c r="A42" s="3"/>
      <c r="B42" s="3"/>
      <c r="C42" s="3"/>
      <c r="D42" s="3"/>
      <c r="E42" s="3"/>
      <c r="F42" s="3"/>
      <c r="G42" s="3"/>
      <c r="H42" s="24"/>
      <c r="I42" s="24"/>
      <c r="J42" s="24"/>
      <c r="K42" s="24"/>
      <c r="L42" s="3"/>
      <c r="M42" s="3"/>
      <c r="N42" s="3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3"/>
      <c r="B43" s="3"/>
      <c r="C43" s="3"/>
      <c r="D43" s="3"/>
      <c r="E43" s="3"/>
      <c r="F43" s="3"/>
      <c r="G43" s="3"/>
      <c r="H43" s="24"/>
      <c r="I43" s="24"/>
      <c r="J43" s="24"/>
      <c r="K43" s="24"/>
      <c r="L43" s="3"/>
      <c r="M43" s="3"/>
      <c r="N43" s="3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>
      <c r="A44" s="3"/>
      <c r="B44" s="3"/>
      <c r="C44" s="3"/>
      <c r="D44" s="3"/>
      <c r="E44" s="3"/>
      <c r="F44" s="3"/>
      <c r="G44" s="3"/>
      <c r="H44" s="24"/>
      <c r="I44" s="24"/>
      <c r="J44" s="24"/>
      <c r="K44" s="24"/>
      <c r="L44" s="3"/>
      <c r="M44" s="3"/>
      <c r="N44" s="3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>
      <c r="A45" s="3"/>
      <c r="B45" s="3"/>
      <c r="C45" s="3"/>
      <c r="D45" s="3"/>
      <c r="E45" s="3"/>
      <c r="F45" s="3"/>
      <c r="G45" s="3"/>
      <c r="H45" s="24"/>
      <c r="I45" s="24"/>
      <c r="J45" s="24"/>
      <c r="K45" s="24"/>
      <c r="L45" s="3"/>
      <c r="M45" s="3"/>
      <c r="N45" s="3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>
      <c r="A46" s="3"/>
      <c r="B46" s="3"/>
      <c r="C46" s="3"/>
      <c r="D46" s="3"/>
      <c r="E46" s="3"/>
      <c r="F46" s="3"/>
      <c r="G46" s="3"/>
      <c r="H46" s="24"/>
      <c r="I46" s="24"/>
      <c r="J46" s="24"/>
      <c r="K46" s="24"/>
      <c r="L46" s="3"/>
      <c r="M46" s="3"/>
      <c r="N46" s="3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3"/>
      <c r="B47" s="3"/>
      <c r="C47" s="3"/>
      <c r="D47" s="3"/>
      <c r="E47" s="3"/>
      <c r="F47" s="3"/>
      <c r="G47" s="3"/>
      <c r="H47" s="24"/>
      <c r="I47" s="24"/>
      <c r="J47" s="24"/>
      <c r="K47" s="24"/>
      <c r="L47" s="3"/>
      <c r="M47" s="3"/>
      <c r="N47" s="3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>
      <c r="A48" s="3"/>
      <c r="B48" s="3"/>
      <c r="C48" s="3"/>
      <c r="D48" s="3"/>
      <c r="E48" s="3"/>
      <c r="F48" s="3"/>
      <c r="G48" s="3"/>
      <c r="H48" s="24"/>
      <c r="I48" s="24"/>
      <c r="J48" s="24"/>
      <c r="K48" s="24"/>
      <c r="L48" s="3"/>
      <c r="M48" s="3"/>
      <c r="N48" s="3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>
      <c r="A49" s="3"/>
      <c r="B49" s="3"/>
      <c r="C49" s="3"/>
      <c r="D49" s="3"/>
      <c r="E49" s="3"/>
      <c r="F49" s="3"/>
      <c r="G49" s="3"/>
      <c r="H49" s="24"/>
      <c r="I49" s="24"/>
      <c r="J49" s="24"/>
      <c r="K49" s="24"/>
      <c r="L49" s="3"/>
      <c r="M49" s="3"/>
      <c r="N49" s="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>
      <c r="A50" s="3"/>
      <c r="B50" s="3"/>
      <c r="C50" s="3"/>
      <c r="D50" s="3"/>
      <c r="E50" s="3"/>
      <c r="F50" s="3"/>
      <c r="G50" s="3"/>
      <c r="H50" s="24"/>
      <c r="I50" s="24"/>
      <c r="J50" s="24"/>
      <c r="K50" s="24"/>
      <c r="L50" s="3"/>
      <c r="M50" s="3"/>
      <c r="N50" s="3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>
      <c r="A51" s="3"/>
      <c r="B51" s="3"/>
      <c r="C51" s="3"/>
      <c r="D51" s="3"/>
      <c r="E51" s="3"/>
      <c r="F51" s="3"/>
      <c r="G51" s="3"/>
      <c r="H51" s="24"/>
      <c r="I51" s="24"/>
      <c r="J51" s="24"/>
      <c r="K51" s="24"/>
      <c r="L51" s="3"/>
      <c r="M51" s="3"/>
      <c r="N51" s="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A52" s="3"/>
      <c r="B52" s="3"/>
      <c r="C52" s="3"/>
      <c r="D52" s="3"/>
      <c r="E52" s="3"/>
      <c r="F52" s="3"/>
      <c r="G52" s="3"/>
      <c r="H52" s="24"/>
      <c r="I52" s="24"/>
      <c r="J52" s="24"/>
      <c r="K52" s="24"/>
      <c r="L52" s="3"/>
      <c r="M52" s="3"/>
      <c r="N52" s="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>
      <c r="A53" s="3"/>
      <c r="B53" s="3"/>
      <c r="C53" s="3"/>
      <c r="D53" s="3"/>
      <c r="E53" s="3"/>
      <c r="F53" s="3"/>
      <c r="G53" s="3"/>
      <c r="H53" s="24"/>
      <c r="I53" s="24"/>
      <c r="J53" s="24"/>
      <c r="K53" s="24"/>
      <c r="L53" s="3"/>
      <c r="M53" s="3"/>
      <c r="N53" s="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3"/>
      <c r="B54" s="3"/>
      <c r="C54" s="3"/>
      <c r="D54" s="3"/>
      <c r="E54" s="3"/>
      <c r="F54" s="3"/>
      <c r="G54" s="3"/>
      <c r="H54" s="24"/>
      <c r="I54" s="24"/>
      <c r="J54" s="24"/>
      <c r="K54" s="24"/>
      <c r="L54" s="3"/>
      <c r="M54" s="3"/>
      <c r="N54" s="3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>
      <c r="A55" s="3"/>
      <c r="B55" s="3"/>
      <c r="C55" s="3"/>
      <c r="D55" s="3"/>
      <c r="E55" s="3"/>
      <c r="F55" s="3"/>
      <c r="G55" s="3"/>
      <c r="H55" s="24"/>
      <c r="I55" s="24"/>
      <c r="J55" s="24"/>
      <c r="K55" s="24"/>
      <c r="L55" s="3"/>
      <c r="M55" s="3"/>
      <c r="N55" s="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>
      <c r="A56" s="3"/>
      <c r="B56" s="3"/>
      <c r="C56" s="3"/>
      <c r="D56" s="3"/>
      <c r="E56" s="3"/>
      <c r="F56" s="3"/>
      <c r="G56" s="3"/>
      <c r="H56" s="24"/>
      <c r="I56" s="24"/>
      <c r="J56" s="24"/>
      <c r="K56" s="24"/>
      <c r="L56" s="3"/>
      <c r="M56" s="3"/>
      <c r="N56" s="3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>
      <c r="A57" s="3"/>
      <c r="B57" s="3"/>
      <c r="C57" s="3"/>
      <c r="D57" s="3"/>
      <c r="E57" s="3"/>
      <c r="F57" s="3"/>
      <c r="G57" s="3"/>
      <c r="H57" s="24"/>
      <c r="I57" s="24"/>
      <c r="J57" s="24"/>
      <c r="K57" s="24"/>
      <c r="L57" s="3"/>
      <c r="M57" s="3"/>
      <c r="N57" s="3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3"/>
      <c r="B58" s="3"/>
      <c r="C58" s="3"/>
      <c r="D58" s="3"/>
      <c r="E58" s="3"/>
      <c r="F58" s="3"/>
      <c r="G58" s="3"/>
      <c r="H58" s="24"/>
      <c r="I58" s="24"/>
      <c r="J58" s="24"/>
      <c r="K58" s="24"/>
      <c r="L58" s="3"/>
      <c r="M58" s="3"/>
      <c r="N58" s="3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>
      <c r="A59" s="3"/>
      <c r="B59" s="3"/>
      <c r="C59" s="3"/>
      <c r="D59" s="3"/>
      <c r="E59" s="3"/>
      <c r="F59" s="3"/>
      <c r="G59" s="3"/>
      <c r="H59" s="24"/>
      <c r="I59" s="24"/>
      <c r="J59" s="24"/>
      <c r="K59" s="24"/>
      <c r="L59" s="3"/>
      <c r="M59" s="3"/>
      <c r="N59" s="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3"/>
      <c r="B60" s="3"/>
      <c r="C60" s="3"/>
      <c r="D60" s="3"/>
      <c r="E60" s="3"/>
      <c r="F60" s="3"/>
      <c r="G60" s="3"/>
      <c r="H60" s="24"/>
      <c r="I60" s="24"/>
      <c r="J60" s="24"/>
      <c r="K60" s="24"/>
      <c r="L60" s="3"/>
      <c r="M60" s="3"/>
      <c r="N60" s="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3"/>
      <c r="B61" s="3"/>
      <c r="C61" s="3"/>
      <c r="D61" s="3"/>
      <c r="E61" s="3"/>
      <c r="F61" s="3"/>
      <c r="G61" s="3"/>
      <c r="H61" s="24"/>
      <c r="I61" s="24"/>
      <c r="J61" s="24"/>
      <c r="K61" s="24"/>
      <c r="L61" s="3"/>
      <c r="M61" s="3"/>
      <c r="N61" s="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>
      <c r="A62" s="3"/>
      <c r="B62" s="3"/>
      <c r="C62" s="3"/>
      <c r="D62" s="3"/>
      <c r="E62" s="3"/>
      <c r="F62" s="3"/>
      <c r="G62" s="3"/>
      <c r="H62" s="24"/>
      <c r="I62" s="24"/>
      <c r="J62" s="24"/>
      <c r="K62" s="24"/>
      <c r="L62" s="3"/>
      <c r="M62" s="3"/>
      <c r="N62" s="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>
      <c r="A63" s="3"/>
      <c r="B63" s="3"/>
      <c r="C63" s="3"/>
      <c r="D63" s="3"/>
      <c r="E63" s="3"/>
      <c r="F63" s="3"/>
      <c r="G63" s="3"/>
      <c r="H63" s="24"/>
      <c r="I63" s="24"/>
      <c r="J63" s="24"/>
      <c r="K63" s="24"/>
      <c r="L63" s="3"/>
      <c r="M63" s="3"/>
      <c r="N63" s="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>
      <c r="A64" s="3"/>
      <c r="B64" s="3"/>
      <c r="C64" s="3"/>
      <c r="D64" s="3"/>
      <c r="E64" s="3"/>
      <c r="F64" s="3"/>
      <c r="G64" s="3"/>
      <c r="H64" s="24"/>
      <c r="I64" s="24"/>
      <c r="J64" s="24"/>
      <c r="K64" s="24"/>
      <c r="L64" s="3"/>
      <c r="M64" s="3"/>
      <c r="N64" s="3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>
      <c r="A65" s="3"/>
      <c r="B65" s="3"/>
      <c r="C65" s="3"/>
      <c r="D65" s="3"/>
      <c r="E65" s="3"/>
      <c r="F65" s="3"/>
      <c r="G65" s="3"/>
      <c r="H65" s="24"/>
      <c r="I65" s="24"/>
      <c r="J65" s="24"/>
      <c r="K65" s="24"/>
      <c r="L65" s="3"/>
      <c r="M65" s="3"/>
      <c r="N65" s="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>
      <c r="A66" s="3"/>
      <c r="B66" s="3"/>
      <c r="C66" s="3"/>
      <c r="D66" s="3"/>
      <c r="E66" s="3"/>
      <c r="F66" s="3"/>
      <c r="G66" s="3"/>
      <c r="H66" s="24"/>
      <c r="I66" s="24"/>
      <c r="J66" s="24"/>
      <c r="K66" s="24"/>
      <c r="L66" s="3"/>
      <c r="M66" s="3"/>
      <c r="N66" s="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>
      <c r="A67" s="3"/>
      <c r="B67" s="3"/>
      <c r="C67" s="3"/>
      <c r="D67" s="3"/>
      <c r="E67" s="3"/>
      <c r="F67" s="3"/>
      <c r="G67" s="3"/>
      <c r="H67" s="24"/>
      <c r="I67" s="24"/>
      <c r="J67" s="24"/>
      <c r="K67" s="24"/>
      <c r="L67" s="3"/>
      <c r="M67" s="3"/>
      <c r="N67" s="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3"/>
      <c r="B68" s="3"/>
      <c r="C68" s="3"/>
      <c r="D68" s="3"/>
      <c r="E68" s="3"/>
      <c r="F68" s="3"/>
      <c r="G68" s="3"/>
      <c r="H68" s="24"/>
      <c r="I68" s="24"/>
      <c r="J68" s="24"/>
      <c r="K68" s="24"/>
      <c r="L68" s="3"/>
      <c r="M68" s="3"/>
      <c r="N68" s="3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3"/>
      <c r="B69" s="3"/>
      <c r="C69" s="3"/>
      <c r="D69" s="3"/>
      <c r="E69" s="3"/>
      <c r="F69" s="3"/>
      <c r="G69" s="3"/>
      <c r="H69" s="24"/>
      <c r="I69" s="24"/>
      <c r="J69" s="24"/>
      <c r="K69" s="24"/>
      <c r="L69" s="3"/>
      <c r="M69" s="3"/>
      <c r="N69" s="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3"/>
      <c r="B70" s="3"/>
      <c r="C70" s="3"/>
      <c r="D70" s="3"/>
      <c r="E70" s="3"/>
      <c r="F70" s="3"/>
      <c r="G70" s="3"/>
      <c r="H70" s="24"/>
      <c r="I70" s="24"/>
      <c r="J70" s="24"/>
      <c r="K70" s="24"/>
      <c r="L70" s="3"/>
      <c r="M70" s="3"/>
      <c r="N70" s="3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3"/>
      <c r="B71" s="3"/>
      <c r="C71" s="3"/>
      <c r="D71" s="3"/>
      <c r="E71" s="3"/>
      <c r="F71" s="3"/>
      <c r="G71" s="3"/>
      <c r="H71" s="24"/>
      <c r="I71" s="24"/>
      <c r="J71" s="24"/>
      <c r="K71" s="24"/>
      <c r="L71" s="3"/>
      <c r="M71" s="3"/>
      <c r="N71" s="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3"/>
      <c r="B72" s="3"/>
      <c r="C72" s="3"/>
      <c r="D72" s="3"/>
      <c r="E72" s="3"/>
      <c r="F72" s="3"/>
      <c r="G72" s="3"/>
      <c r="H72" s="24"/>
      <c r="I72" s="24"/>
      <c r="J72" s="24"/>
      <c r="K72" s="24"/>
      <c r="L72" s="3"/>
      <c r="M72" s="3"/>
      <c r="N72" s="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3"/>
      <c r="B73" s="3"/>
      <c r="C73" s="3"/>
      <c r="D73" s="3"/>
      <c r="E73" s="3"/>
      <c r="F73" s="3"/>
      <c r="G73" s="3"/>
      <c r="H73" s="24"/>
      <c r="I73" s="24"/>
      <c r="J73" s="24"/>
      <c r="K73" s="24"/>
      <c r="L73" s="3"/>
      <c r="M73" s="3"/>
      <c r="N73" s="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3"/>
      <c r="B74" s="3"/>
      <c r="C74" s="3"/>
      <c r="D74" s="3"/>
      <c r="E74" s="3"/>
      <c r="F74" s="3"/>
      <c r="G74" s="3"/>
      <c r="H74" s="24"/>
      <c r="I74" s="24"/>
      <c r="J74" s="24"/>
      <c r="K74" s="24"/>
      <c r="L74" s="3"/>
      <c r="M74" s="3"/>
      <c r="N74" s="3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3"/>
      <c r="B75" s="3"/>
      <c r="C75" s="3"/>
      <c r="D75" s="3"/>
      <c r="E75" s="3"/>
      <c r="F75" s="3"/>
      <c r="G75" s="3"/>
      <c r="H75" s="24"/>
      <c r="I75" s="24"/>
      <c r="J75" s="24"/>
      <c r="K75" s="24"/>
      <c r="L75" s="3"/>
      <c r="M75" s="3"/>
      <c r="N75" s="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3"/>
      <c r="B76" s="3"/>
      <c r="C76" s="3"/>
      <c r="D76" s="3"/>
      <c r="E76" s="3"/>
      <c r="F76" s="3"/>
      <c r="G76" s="3"/>
      <c r="H76" s="24"/>
      <c r="I76" s="24"/>
      <c r="J76" s="24"/>
      <c r="K76" s="24"/>
      <c r="L76" s="3"/>
      <c r="M76" s="3"/>
      <c r="N76" s="3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3"/>
      <c r="B77" s="3"/>
      <c r="C77" s="3"/>
      <c r="D77" s="3"/>
      <c r="E77" s="3"/>
      <c r="F77" s="3"/>
      <c r="G77" s="3"/>
      <c r="H77" s="24"/>
      <c r="I77" s="24"/>
      <c r="J77" s="24"/>
      <c r="K77" s="24"/>
      <c r="L77" s="3"/>
      <c r="M77" s="3"/>
      <c r="N77" s="3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>
      <c r="A78" s="3"/>
      <c r="B78" s="3"/>
      <c r="C78" s="3"/>
      <c r="D78" s="3"/>
      <c r="E78" s="3"/>
      <c r="F78" s="3"/>
      <c r="G78" s="3"/>
      <c r="H78" s="24"/>
      <c r="I78" s="24"/>
      <c r="J78" s="24"/>
      <c r="K78" s="24"/>
      <c r="L78" s="3"/>
      <c r="M78" s="3"/>
      <c r="N78" s="3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>
      <c r="A79" s="3"/>
      <c r="B79" s="3"/>
      <c r="C79" s="3"/>
      <c r="D79" s="3"/>
      <c r="E79" s="3"/>
      <c r="F79" s="3"/>
      <c r="G79" s="3"/>
      <c r="H79" s="24"/>
      <c r="I79" s="24"/>
      <c r="J79" s="24"/>
      <c r="K79" s="24"/>
      <c r="L79" s="3"/>
      <c r="M79" s="3"/>
      <c r="N79" s="3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3"/>
      <c r="B80" s="3"/>
      <c r="C80" s="3"/>
      <c r="D80" s="3"/>
      <c r="E80" s="3"/>
      <c r="F80" s="3"/>
      <c r="G80" s="3"/>
      <c r="H80" s="24"/>
      <c r="I80" s="24"/>
      <c r="J80" s="24"/>
      <c r="K80" s="24"/>
      <c r="L80" s="3"/>
      <c r="M80" s="3"/>
      <c r="N80" s="3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3"/>
      <c r="B81" s="3"/>
      <c r="C81" s="3"/>
      <c r="D81" s="3"/>
      <c r="E81" s="3"/>
      <c r="F81" s="3"/>
      <c r="G81" s="3"/>
      <c r="H81" s="24"/>
      <c r="I81" s="24"/>
      <c r="J81" s="24"/>
      <c r="K81" s="24"/>
      <c r="L81" s="3"/>
      <c r="M81" s="3"/>
      <c r="N81" s="3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3"/>
      <c r="B82" s="3"/>
      <c r="C82" s="3"/>
      <c r="D82" s="3"/>
      <c r="E82" s="3"/>
      <c r="F82" s="3"/>
      <c r="G82" s="3"/>
      <c r="H82" s="24"/>
      <c r="I82" s="24"/>
      <c r="J82" s="24"/>
      <c r="K82" s="24"/>
      <c r="L82" s="3"/>
      <c r="M82" s="3"/>
      <c r="N82" s="3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3"/>
      <c r="B83" s="3"/>
      <c r="C83" s="3"/>
      <c r="D83" s="3"/>
      <c r="E83" s="3"/>
      <c r="F83" s="3"/>
      <c r="G83" s="3"/>
      <c r="H83" s="24"/>
      <c r="I83" s="24"/>
      <c r="J83" s="24"/>
      <c r="K83" s="24"/>
      <c r="L83" s="3"/>
      <c r="M83" s="3"/>
      <c r="N83" s="3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3"/>
      <c r="B84" s="3"/>
      <c r="C84" s="3"/>
      <c r="D84" s="3"/>
      <c r="E84" s="3"/>
      <c r="F84" s="3"/>
      <c r="G84" s="3"/>
      <c r="H84" s="24"/>
      <c r="I84" s="24"/>
      <c r="J84" s="24"/>
      <c r="K84" s="24"/>
      <c r="L84" s="3"/>
      <c r="M84" s="3"/>
      <c r="N84" s="3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A85" s="3"/>
      <c r="B85" s="3"/>
      <c r="C85" s="3"/>
      <c r="D85" s="3"/>
      <c r="E85" s="3"/>
      <c r="F85" s="3"/>
      <c r="G85" s="3"/>
      <c r="H85" s="24"/>
      <c r="I85" s="24"/>
      <c r="J85" s="24"/>
      <c r="K85" s="24"/>
      <c r="L85" s="3"/>
      <c r="M85" s="3"/>
      <c r="N85" s="3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3"/>
      <c r="B86" s="3"/>
      <c r="C86" s="3"/>
      <c r="D86" s="3"/>
      <c r="E86" s="3"/>
      <c r="F86" s="3"/>
      <c r="G86" s="3"/>
      <c r="H86" s="24"/>
      <c r="I86" s="24"/>
      <c r="J86" s="24"/>
      <c r="K86" s="24"/>
      <c r="L86" s="3"/>
      <c r="M86" s="3"/>
      <c r="N86" s="3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3"/>
      <c r="B87" s="3"/>
      <c r="C87" s="3"/>
      <c r="D87" s="3"/>
      <c r="E87" s="3"/>
      <c r="F87" s="3"/>
      <c r="G87" s="3"/>
      <c r="H87" s="24"/>
      <c r="I87" s="24"/>
      <c r="J87" s="24"/>
      <c r="K87" s="24"/>
      <c r="L87" s="3"/>
      <c r="M87" s="3"/>
      <c r="N87" s="3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3"/>
      <c r="B88" s="3"/>
      <c r="C88" s="3"/>
      <c r="D88" s="3"/>
      <c r="E88" s="3"/>
      <c r="F88" s="3"/>
      <c r="G88" s="3"/>
      <c r="H88" s="24"/>
      <c r="I88" s="24"/>
      <c r="J88" s="24"/>
      <c r="K88" s="24"/>
      <c r="L88" s="3"/>
      <c r="M88" s="3"/>
      <c r="N88" s="3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3"/>
      <c r="B89" s="3"/>
      <c r="C89" s="3"/>
      <c r="D89" s="3"/>
      <c r="E89" s="3"/>
      <c r="F89" s="3"/>
      <c r="G89" s="3"/>
      <c r="H89" s="24"/>
      <c r="I89" s="24"/>
      <c r="J89" s="24"/>
      <c r="K89" s="24"/>
      <c r="L89" s="3"/>
      <c r="M89" s="3"/>
      <c r="N89" s="3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3"/>
      <c r="B90" s="3"/>
      <c r="C90" s="3"/>
      <c r="D90" s="3"/>
      <c r="E90" s="3"/>
      <c r="F90" s="3"/>
      <c r="G90" s="3"/>
      <c r="H90" s="24"/>
      <c r="I90" s="24"/>
      <c r="J90" s="24"/>
      <c r="K90" s="24"/>
      <c r="L90" s="3"/>
      <c r="M90" s="3"/>
      <c r="N90" s="3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3"/>
      <c r="B91" s="3"/>
      <c r="C91" s="3"/>
      <c r="D91" s="3"/>
      <c r="E91" s="3"/>
      <c r="F91" s="3"/>
      <c r="G91" s="3"/>
      <c r="H91" s="24"/>
      <c r="I91" s="24"/>
      <c r="J91" s="24"/>
      <c r="K91" s="24"/>
      <c r="L91" s="3"/>
      <c r="M91" s="3"/>
      <c r="N91" s="3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3"/>
      <c r="B92" s="3"/>
      <c r="C92" s="3"/>
      <c r="D92" s="3"/>
      <c r="E92" s="3"/>
      <c r="F92" s="3"/>
      <c r="G92" s="3"/>
      <c r="H92" s="24"/>
      <c r="I92" s="24"/>
      <c r="J92" s="24"/>
      <c r="K92" s="24"/>
      <c r="L92" s="3"/>
      <c r="M92" s="3"/>
      <c r="N92" s="3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3"/>
      <c r="B93" s="3"/>
      <c r="C93" s="3"/>
      <c r="D93" s="3"/>
      <c r="E93" s="3"/>
      <c r="F93" s="3"/>
      <c r="G93" s="3"/>
      <c r="H93" s="24"/>
      <c r="I93" s="24"/>
      <c r="J93" s="24"/>
      <c r="K93" s="24"/>
      <c r="L93" s="3"/>
      <c r="M93" s="3"/>
      <c r="N93" s="3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3"/>
      <c r="B94" s="3"/>
      <c r="C94" s="3"/>
      <c r="D94" s="3"/>
      <c r="E94" s="3"/>
      <c r="F94" s="3"/>
      <c r="G94" s="3"/>
      <c r="H94" s="24"/>
      <c r="I94" s="24"/>
      <c r="J94" s="24"/>
      <c r="K94" s="24"/>
      <c r="L94" s="3"/>
      <c r="M94" s="3"/>
      <c r="N94" s="3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3"/>
      <c r="B95" s="3"/>
      <c r="C95" s="3"/>
      <c r="D95" s="3"/>
      <c r="E95" s="3"/>
      <c r="F95" s="3"/>
      <c r="G95" s="3"/>
      <c r="H95" s="24"/>
      <c r="I95" s="24"/>
      <c r="J95" s="24"/>
      <c r="K95" s="24"/>
      <c r="L95" s="3"/>
      <c r="M95" s="3"/>
      <c r="N95" s="3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3"/>
      <c r="B96" s="3"/>
      <c r="C96" s="3"/>
      <c r="D96" s="3"/>
      <c r="E96" s="3"/>
      <c r="F96" s="3"/>
      <c r="G96" s="3"/>
      <c r="H96" s="24"/>
      <c r="I96" s="24"/>
      <c r="J96" s="24"/>
      <c r="K96" s="24"/>
      <c r="L96" s="3"/>
      <c r="M96" s="3"/>
      <c r="N96" s="3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3"/>
      <c r="B97" s="3"/>
      <c r="C97" s="3"/>
      <c r="D97" s="3"/>
      <c r="E97" s="3"/>
      <c r="F97" s="3"/>
      <c r="G97" s="3"/>
      <c r="H97" s="24"/>
      <c r="I97" s="24"/>
      <c r="J97" s="24"/>
      <c r="K97" s="24"/>
      <c r="L97" s="3"/>
      <c r="M97" s="3"/>
      <c r="N97" s="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3"/>
      <c r="B98" s="3"/>
      <c r="C98" s="3"/>
      <c r="D98" s="3"/>
      <c r="E98" s="3"/>
      <c r="F98" s="3"/>
      <c r="G98" s="3"/>
      <c r="H98" s="24"/>
      <c r="I98" s="24"/>
      <c r="J98" s="24"/>
      <c r="K98" s="24"/>
      <c r="L98" s="3"/>
      <c r="M98" s="3"/>
      <c r="N98" s="3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3"/>
      <c r="B99" s="3"/>
      <c r="C99" s="3"/>
      <c r="D99" s="3"/>
      <c r="E99" s="3"/>
      <c r="F99" s="3"/>
      <c r="G99" s="3"/>
      <c r="H99" s="24"/>
      <c r="I99" s="24"/>
      <c r="J99" s="24"/>
      <c r="K99" s="24"/>
      <c r="L99" s="3"/>
      <c r="M99" s="3"/>
      <c r="N99" s="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3"/>
      <c r="B100" s="3"/>
      <c r="C100" s="3"/>
      <c r="D100" s="3"/>
      <c r="E100" s="3"/>
      <c r="F100" s="3"/>
      <c r="G100" s="3"/>
      <c r="H100" s="24"/>
      <c r="I100" s="24"/>
      <c r="J100" s="24"/>
      <c r="K100" s="24"/>
      <c r="L100" s="3"/>
      <c r="M100" s="3"/>
      <c r="N100" s="3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3"/>
      <c r="B101" s="3"/>
      <c r="C101" s="3"/>
      <c r="D101" s="3"/>
      <c r="E101" s="3"/>
      <c r="F101" s="3"/>
      <c r="G101" s="3"/>
      <c r="H101" s="24"/>
      <c r="I101" s="24"/>
      <c r="J101" s="24"/>
      <c r="K101" s="24"/>
      <c r="L101" s="3"/>
      <c r="M101" s="3"/>
      <c r="N101" s="3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3"/>
      <c r="B102" s="3"/>
      <c r="C102" s="3"/>
      <c r="D102" s="3"/>
      <c r="E102" s="3"/>
      <c r="F102" s="3"/>
      <c r="G102" s="3"/>
      <c r="H102" s="24"/>
      <c r="I102" s="24"/>
      <c r="J102" s="24"/>
      <c r="K102" s="24"/>
      <c r="L102" s="3"/>
      <c r="M102" s="3"/>
      <c r="N102" s="3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3"/>
      <c r="B103" s="3"/>
      <c r="C103" s="3"/>
      <c r="D103" s="3"/>
      <c r="E103" s="3"/>
      <c r="F103" s="3"/>
      <c r="G103" s="3"/>
      <c r="H103" s="24"/>
      <c r="I103" s="24"/>
      <c r="J103" s="24"/>
      <c r="K103" s="24"/>
      <c r="L103" s="3"/>
      <c r="M103" s="3"/>
      <c r="N103" s="3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3"/>
      <c r="B104" s="3"/>
      <c r="C104" s="3"/>
      <c r="D104" s="3"/>
      <c r="E104" s="3"/>
      <c r="F104" s="3"/>
      <c r="G104" s="3"/>
      <c r="H104" s="24"/>
      <c r="I104" s="24"/>
      <c r="J104" s="24"/>
      <c r="K104" s="24"/>
      <c r="L104" s="3"/>
      <c r="M104" s="3"/>
      <c r="N104" s="3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3"/>
      <c r="B105" s="3"/>
      <c r="C105" s="3"/>
      <c r="D105" s="3"/>
      <c r="E105" s="3"/>
      <c r="F105" s="3"/>
      <c r="G105" s="3"/>
      <c r="H105" s="24"/>
      <c r="I105" s="24"/>
      <c r="J105" s="24"/>
      <c r="K105" s="24"/>
      <c r="L105" s="3"/>
      <c r="M105" s="3"/>
      <c r="N105" s="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3"/>
      <c r="B106" s="3"/>
      <c r="C106" s="3"/>
      <c r="D106" s="3"/>
      <c r="E106" s="3"/>
      <c r="F106" s="3"/>
      <c r="G106" s="3"/>
      <c r="H106" s="24"/>
      <c r="I106" s="24"/>
      <c r="J106" s="24"/>
      <c r="K106" s="24"/>
      <c r="L106" s="3"/>
      <c r="M106" s="3"/>
      <c r="N106" s="3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3"/>
      <c r="B107" s="3"/>
      <c r="C107" s="3"/>
      <c r="D107" s="3"/>
      <c r="E107" s="3"/>
      <c r="F107" s="3"/>
      <c r="G107" s="3"/>
      <c r="H107" s="24"/>
      <c r="I107" s="24"/>
      <c r="J107" s="24"/>
      <c r="K107" s="24"/>
      <c r="L107" s="3"/>
      <c r="M107" s="3"/>
      <c r="N107" s="3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3"/>
      <c r="B108" s="3"/>
      <c r="C108" s="3"/>
      <c r="D108" s="3"/>
      <c r="E108" s="3"/>
      <c r="F108" s="3"/>
      <c r="G108" s="3"/>
      <c r="H108" s="24"/>
      <c r="I108" s="24"/>
      <c r="J108" s="24"/>
      <c r="K108" s="24"/>
      <c r="L108" s="3"/>
      <c r="M108" s="3"/>
      <c r="N108" s="3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3"/>
      <c r="B109" s="3"/>
      <c r="C109" s="3"/>
      <c r="D109" s="3"/>
      <c r="E109" s="3"/>
      <c r="F109" s="3"/>
      <c r="G109" s="3"/>
      <c r="H109" s="24"/>
      <c r="I109" s="24"/>
      <c r="J109" s="24"/>
      <c r="K109" s="24"/>
      <c r="L109" s="3"/>
      <c r="M109" s="3"/>
      <c r="N109" s="3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3"/>
      <c r="B110" s="3"/>
      <c r="C110" s="3"/>
      <c r="D110" s="3"/>
      <c r="E110" s="3"/>
      <c r="F110" s="3"/>
      <c r="G110" s="3"/>
      <c r="H110" s="24"/>
      <c r="I110" s="24"/>
      <c r="J110" s="24"/>
      <c r="K110" s="24"/>
      <c r="L110" s="3"/>
      <c r="M110" s="3"/>
      <c r="N110" s="3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3"/>
      <c r="B111" s="3"/>
      <c r="C111" s="3"/>
      <c r="D111" s="3"/>
      <c r="E111" s="3"/>
      <c r="F111" s="3"/>
      <c r="G111" s="3"/>
      <c r="H111" s="24"/>
      <c r="I111" s="24"/>
      <c r="J111" s="24"/>
      <c r="K111" s="24"/>
      <c r="L111" s="3"/>
      <c r="M111" s="3"/>
      <c r="N111" s="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3"/>
      <c r="B112" s="3"/>
      <c r="C112" s="3"/>
      <c r="D112" s="3"/>
      <c r="E112" s="3"/>
      <c r="F112" s="3"/>
      <c r="G112" s="3"/>
      <c r="H112" s="24"/>
      <c r="I112" s="24"/>
      <c r="J112" s="24"/>
      <c r="K112" s="24"/>
      <c r="L112" s="3"/>
      <c r="M112" s="3"/>
      <c r="N112" s="3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3"/>
      <c r="B113" s="3"/>
      <c r="C113" s="3"/>
      <c r="D113" s="3"/>
      <c r="E113" s="3"/>
      <c r="F113" s="3"/>
      <c r="G113" s="3"/>
      <c r="H113" s="24"/>
      <c r="I113" s="24"/>
      <c r="J113" s="24"/>
      <c r="K113" s="24"/>
      <c r="L113" s="3"/>
      <c r="M113" s="3"/>
      <c r="N113" s="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3"/>
      <c r="B114" s="3"/>
      <c r="C114" s="3"/>
      <c r="D114" s="3"/>
      <c r="E114" s="3"/>
      <c r="F114" s="3"/>
      <c r="G114" s="3"/>
      <c r="H114" s="24"/>
      <c r="I114" s="24"/>
      <c r="J114" s="24"/>
      <c r="K114" s="24"/>
      <c r="L114" s="3"/>
      <c r="M114" s="3"/>
      <c r="N114" s="3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3"/>
      <c r="B115" s="3"/>
      <c r="C115" s="3"/>
      <c r="D115" s="3"/>
      <c r="E115" s="3"/>
      <c r="F115" s="3"/>
      <c r="G115" s="3"/>
      <c r="H115" s="24"/>
      <c r="I115" s="24"/>
      <c r="J115" s="24"/>
      <c r="K115" s="24"/>
      <c r="L115" s="3"/>
      <c r="M115" s="3"/>
      <c r="N115" s="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3"/>
      <c r="B116" s="3"/>
      <c r="C116" s="3"/>
      <c r="D116" s="3"/>
      <c r="E116" s="3"/>
      <c r="F116" s="3"/>
      <c r="G116" s="3"/>
      <c r="H116" s="24"/>
      <c r="I116" s="24"/>
      <c r="J116" s="24"/>
      <c r="K116" s="24"/>
      <c r="L116" s="3"/>
      <c r="M116" s="3"/>
      <c r="N116" s="3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3"/>
      <c r="B117" s="3"/>
      <c r="C117" s="3"/>
      <c r="D117" s="3"/>
      <c r="E117" s="3"/>
      <c r="F117" s="3"/>
      <c r="G117" s="3"/>
      <c r="H117" s="24"/>
      <c r="I117" s="24"/>
      <c r="J117" s="24"/>
      <c r="K117" s="24"/>
      <c r="L117" s="3"/>
      <c r="M117" s="3"/>
      <c r="N117" s="3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3"/>
      <c r="B118" s="3"/>
      <c r="C118" s="3"/>
      <c r="D118" s="3"/>
      <c r="E118" s="3"/>
      <c r="F118" s="3"/>
      <c r="G118" s="3"/>
      <c r="H118" s="24"/>
      <c r="I118" s="24"/>
      <c r="J118" s="24"/>
      <c r="K118" s="24"/>
      <c r="L118" s="3"/>
      <c r="M118" s="3"/>
      <c r="N118" s="3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3"/>
      <c r="B119" s="3"/>
      <c r="C119" s="3"/>
      <c r="D119" s="3"/>
      <c r="E119" s="3"/>
      <c r="F119" s="3"/>
      <c r="G119" s="3"/>
      <c r="H119" s="24"/>
      <c r="I119" s="24"/>
      <c r="J119" s="24"/>
      <c r="K119" s="24"/>
      <c r="L119" s="3"/>
      <c r="M119" s="3"/>
      <c r="N119" s="3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3"/>
      <c r="B120" s="3"/>
      <c r="C120" s="3"/>
      <c r="D120" s="3"/>
      <c r="E120" s="3"/>
      <c r="F120" s="3"/>
      <c r="G120" s="3"/>
      <c r="H120" s="24"/>
      <c r="I120" s="24"/>
      <c r="J120" s="24"/>
      <c r="K120" s="24"/>
      <c r="L120" s="3"/>
      <c r="M120" s="3"/>
      <c r="N120" s="3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3"/>
      <c r="B121" s="3"/>
      <c r="C121" s="3"/>
      <c r="D121" s="3"/>
      <c r="E121" s="3"/>
      <c r="F121" s="3"/>
      <c r="G121" s="3"/>
      <c r="H121" s="24"/>
      <c r="I121" s="24"/>
      <c r="J121" s="24"/>
      <c r="K121" s="24"/>
      <c r="L121" s="3"/>
      <c r="M121" s="3"/>
      <c r="N121" s="3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3"/>
      <c r="B122" s="3"/>
      <c r="C122" s="3"/>
      <c r="D122" s="3"/>
      <c r="E122" s="3"/>
      <c r="F122" s="3"/>
      <c r="G122" s="3"/>
      <c r="H122" s="24"/>
      <c r="I122" s="24"/>
      <c r="J122" s="24"/>
      <c r="K122" s="24"/>
      <c r="L122" s="3"/>
      <c r="M122" s="3"/>
      <c r="N122" s="3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3"/>
      <c r="B123" s="3"/>
      <c r="C123" s="3"/>
      <c r="D123" s="3"/>
      <c r="E123" s="3"/>
      <c r="F123" s="3"/>
      <c r="G123" s="3"/>
      <c r="H123" s="24"/>
      <c r="I123" s="24"/>
      <c r="J123" s="24"/>
      <c r="K123" s="24"/>
      <c r="L123" s="3"/>
      <c r="M123" s="3"/>
      <c r="N123" s="3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3"/>
      <c r="B124" s="3"/>
      <c r="C124" s="3"/>
      <c r="D124" s="3"/>
      <c r="E124" s="3"/>
      <c r="F124" s="3"/>
      <c r="G124" s="3"/>
      <c r="H124" s="24"/>
      <c r="I124" s="24"/>
      <c r="J124" s="24"/>
      <c r="K124" s="24"/>
      <c r="L124" s="3"/>
      <c r="M124" s="3"/>
      <c r="N124" s="3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3"/>
      <c r="B125" s="3"/>
      <c r="C125" s="3"/>
      <c r="D125" s="3"/>
      <c r="E125" s="3"/>
      <c r="F125" s="3"/>
      <c r="G125" s="3"/>
      <c r="H125" s="24"/>
      <c r="I125" s="24"/>
      <c r="J125" s="24"/>
      <c r="K125" s="24"/>
      <c r="L125" s="3"/>
      <c r="M125" s="3"/>
      <c r="N125" s="3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3"/>
      <c r="B126" s="3"/>
      <c r="C126" s="3"/>
      <c r="D126" s="3"/>
      <c r="E126" s="3"/>
      <c r="F126" s="3"/>
      <c r="G126" s="3"/>
      <c r="H126" s="24"/>
      <c r="I126" s="24"/>
      <c r="J126" s="24"/>
      <c r="K126" s="24"/>
      <c r="L126" s="3"/>
      <c r="M126" s="3"/>
      <c r="N126" s="3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3"/>
      <c r="B127" s="3"/>
      <c r="C127" s="3"/>
      <c r="D127" s="3"/>
      <c r="E127" s="3"/>
      <c r="F127" s="3"/>
      <c r="G127" s="3"/>
      <c r="H127" s="24"/>
      <c r="I127" s="24"/>
      <c r="J127" s="24"/>
      <c r="K127" s="24"/>
      <c r="L127" s="3"/>
      <c r="M127" s="3"/>
      <c r="N127" s="3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3"/>
      <c r="B128" s="3"/>
      <c r="C128" s="3"/>
      <c r="D128" s="3"/>
      <c r="E128" s="3"/>
      <c r="F128" s="3"/>
      <c r="G128" s="3"/>
      <c r="H128" s="24"/>
      <c r="I128" s="24"/>
      <c r="J128" s="24"/>
      <c r="K128" s="24"/>
      <c r="L128" s="3"/>
      <c r="M128" s="3"/>
      <c r="N128" s="3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3"/>
      <c r="B129" s="3"/>
      <c r="C129" s="3"/>
      <c r="D129" s="3"/>
      <c r="E129" s="3"/>
      <c r="F129" s="3"/>
      <c r="G129" s="3"/>
      <c r="H129" s="24"/>
      <c r="I129" s="24"/>
      <c r="J129" s="24"/>
      <c r="K129" s="24"/>
      <c r="L129" s="3"/>
      <c r="M129" s="3"/>
      <c r="N129" s="3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3"/>
      <c r="B130" s="3"/>
      <c r="C130" s="3"/>
      <c r="D130" s="3"/>
      <c r="E130" s="3"/>
      <c r="F130" s="3"/>
      <c r="G130" s="3"/>
      <c r="H130" s="24"/>
      <c r="I130" s="24"/>
      <c r="J130" s="24"/>
      <c r="K130" s="24"/>
      <c r="L130" s="3"/>
      <c r="M130" s="3"/>
      <c r="N130" s="3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3"/>
      <c r="B131" s="3"/>
      <c r="C131" s="3"/>
      <c r="D131" s="3"/>
      <c r="E131" s="3"/>
      <c r="F131" s="3"/>
      <c r="G131" s="3"/>
      <c r="H131" s="24"/>
      <c r="I131" s="24"/>
      <c r="J131" s="24"/>
      <c r="K131" s="24"/>
      <c r="L131" s="3"/>
      <c r="M131" s="3"/>
      <c r="N131" s="3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3"/>
      <c r="B132" s="3"/>
      <c r="C132" s="3"/>
      <c r="D132" s="3"/>
      <c r="E132" s="3"/>
      <c r="F132" s="3"/>
      <c r="G132" s="3"/>
      <c r="H132" s="24"/>
      <c r="I132" s="24"/>
      <c r="J132" s="24"/>
      <c r="K132" s="24"/>
      <c r="L132" s="3"/>
      <c r="M132" s="3"/>
      <c r="N132" s="3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3"/>
      <c r="B133" s="3"/>
      <c r="C133" s="3"/>
      <c r="D133" s="3"/>
      <c r="E133" s="3"/>
      <c r="F133" s="3"/>
      <c r="G133" s="3"/>
      <c r="H133" s="24"/>
      <c r="I133" s="24"/>
      <c r="J133" s="24"/>
      <c r="K133" s="24"/>
      <c r="L133" s="3"/>
      <c r="M133" s="3"/>
      <c r="N133" s="3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3"/>
      <c r="B134" s="3"/>
      <c r="C134" s="3"/>
      <c r="D134" s="3"/>
      <c r="E134" s="3"/>
      <c r="F134" s="3"/>
      <c r="G134" s="3"/>
      <c r="H134" s="24"/>
      <c r="I134" s="24"/>
      <c r="J134" s="24"/>
      <c r="K134" s="24"/>
      <c r="L134" s="3"/>
      <c r="M134" s="3"/>
      <c r="N134" s="3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3"/>
      <c r="B135" s="3"/>
      <c r="C135" s="3"/>
      <c r="D135" s="3"/>
      <c r="E135" s="3"/>
      <c r="F135" s="3"/>
      <c r="G135" s="3"/>
      <c r="H135" s="24"/>
      <c r="I135" s="24"/>
      <c r="J135" s="24"/>
      <c r="K135" s="24"/>
      <c r="L135" s="3"/>
      <c r="M135" s="3"/>
      <c r="N135" s="3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3"/>
      <c r="B136" s="3"/>
      <c r="C136" s="3"/>
      <c r="D136" s="3"/>
      <c r="E136" s="3"/>
      <c r="F136" s="3"/>
      <c r="G136" s="3"/>
      <c r="H136" s="24"/>
      <c r="I136" s="24"/>
      <c r="J136" s="24"/>
      <c r="K136" s="24"/>
      <c r="L136" s="3"/>
      <c r="M136" s="3"/>
      <c r="N136" s="3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3"/>
      <c r="B137" s="3"/>
      <c r="C137" s="3"/>
      <c r="D137" s="3"/>
      <c r="E137" s="3"/>
      <c r="F137" s="3"/>
      <c r="G137" s="3"/>
      <c r="H137" s="24"/>
      <c r="I137" s="24"/>
      <c r="J137" s="24"/>
      <c r="K137" s="24"/>
      <c r="L137" s="3"/>
      <c r="M137" s="3"/>
      <c r="N137" s="3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3"/>
      <c r="B138" s="3"/>
      <c r="C138" s="3"/>
      <c r="D138" s="3"/>
      <c r="E138" s="3"/>
      <c r="F138" s="3"/>
      <c r="G138" s="3"/>
      <c r="H138" s="24"/>
      <c r="I138" s="24"/>
      <c r="J138" s="24"/>
      <c r="K138" s="24"/>
      <c r="L138" s="3"/>
      <c r="M138" s="3"/>
      <c r="N138" s="3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3"/>
      <c r="B139" s="3"/>
      <c r="C139" s="3"/>
      <c r="D139" s="3"/>
      <c r="E139" s="3"/>
      <c r="F139" s="3"/>
      <c r="G139" s="3"/>
      <c r="H139" s="24"/>
      <c r="I139" s="24"/>
      <c r="J139" s="24"/>
      <c r="K139" s="24"/>
      <c r="L139" s="3"/>
      <c r="M139" s="3"/>
      <c r="N139" s="3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3"/>
      <c r="B140" s="3"/>
      <c r="C140" s="3"/>
      <c r="D140" s="3"/>
      <c r="E140" s="3"/>
      <c r="F140" s="3"/>
      <c r="G140" s="3"/>
      <c r="H140" s="24"/>
      <c r="I140" s="24"/>
      <c r="J140" s="24"/>
      <c r="K140" s="24"/>
      <c r="L140" s="3"/>
      <c r="M140" s="3"/>
      <c r="N140" s="3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3"/>
      <c r="B141" s="3"/>
      <c r="C141" s="3"/>
      <c r="D141" s="3"/>
      <c r="E141" s="3"/>
      <c r="F141" s="3"/>
      <c r="G141" s="3"/>
      <c r="H141" s="24"/>
      <c r="I141" s="24"/>
      <c r="J141" s="24"/>
      <c r="K141" s="24"/>
      <c r="L141" s="3"/>
      <c r="M141" s="3"/>
      <c r="N141" s="3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3"/>
      <c r="B142" s="3"/>
      <c r="C142" s="3"/>
      <c r="D142" s="3"/>
      <c r="E142" s="3"/>
      <c r="F142" s="3"/>
      <c r="G142" s="3"/>
      <c r="H142" s="24"/>
      <c r="I142" s="24"/>
      <c r="J142" s="24"/>
      <c r="K142" s="24"/>
      <c r="L142" s="3"/>
      <c r="M142" s="3"/>
      <c r="N142" s="3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3"/>
      <c r="B143" s="3"/>
      <c r="C143" s="3"/>
      <c r="D143" s="3"/>
      <c r="E143" s="3"/>
      <c r="F143" s="3"/>
      <c r="G143" s="3"/>
      <c r="H143" s="24"/>
      <c r="I143" s="24"/>
      <c r="J143" s="24"/>
      <c r="K143" s="24"/>
      <c r="L143" s="3"/>
      <c r="M143" s="3"/>
      <c r="N143" s="3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3"/>
      <c r="B144" s="3"/>
      <c r="C144" s="3"/>
      <c r="D144" s="3"/>
      <c r="E144" s="3"/>
      <c r="F144" s="3"/>
      <c r="G144" s="3"/>
      <c r="H144" s="24"/>
      <c r="I144" s="24"/>
      <c r="J144" s="24"/>
      <c r="K144" s="24"/>
      <c r="L144" s="3"/>
      <c r="M144" s="3"/>
      <c r="N144" s="3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3"/>
      <c r="B145" s="3"/>
      <c r="C145" s="3"/>
      <c r="D145" s="3"/>
      <c r="E145" s="3"/>
      <c r="F145" s="3"/>
      <c r="G145" s="3"/>
      <c r="H145" s="24"/>
      <c r="I145" s="24"/>
      <c r="J145" s="24"/>
      <c r="K145" s="24"/>
      <c r="L145" s="3"/>
      <c r="M145" s="3"/>
      <c r="N145" s="3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3"/>
      <c r="B146" s="3"/>
      <c r="C146" s="3"/>
      <c r="D146" s="3"/>
      <c r="E146" s="3"/>
      <c r="F146" s="3"/>
      <c r="G146" s="3"/>
      <c r="H146" s="24"/>
      <c r="I146" s="24"/>
      <c r="J146" s="24"/>
      <c r="K146" s="24"/>
      <c r="L146" s="3"/>
      <c r="M146" s="3"/>
      <c r="N146" s="3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3"/>
      <c r="B147" s="3"/>
      <c r="C147" s="3"/>
      <c r="D147" s="3"/>
      <c r="E147" s="3"/>
      <c r="F147" s="3"/>
      <c r="G147" s="3"/>
      <c r="H147" s="24"/>
      <c r="I147" s="24"/>
      <c r="J147" s="24"/>
      <c r="K147" s="24"/>
      <c r="L147" s="3"/>
      <c r="M147" s="3"/>
      <c r="N147" s="3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3"/>
      <c r="B148" s="3"/>
      <c r="C148" s="3"/>
      <c r="D148" s="3"/>
      <c r="E148" s="3"/>
      <c r="F148" s="3"/>
      <c r="G148" s="3"/>
      <c r="H148" s="24"/>
      <c r="I148" s="24"/>
      <c r="J148" s="24"/>
      <c r="K148" s="24"/>
      <c r="L148" s="3"/>
      <c r="M148" s="3"/>
      <c r="N148" s="3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3"/>
      <c r="B149" s="3"/>
      <c r="C149" s="3"/>
      <c r="D149" s="3"/>
      <c r="E149" s="3"/>
      <c r="F149" s="3"/>
      <c r="G149" s="3"/>
      <c r="H149" s="24"/>
      <c r="I149" s="24"/>
      <c r="J149" s="24"/>
      <c r="K149" s="24"/>
      <c r="L149" s="3"/>
      <c r="M149" s="3"/>
      <c r="N149" s="3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3"/>
      <c r="B150" s="3"/>
      <c r="C150" s="3"/>
      <c r="D150" s="3"/>
      <c r="E150" s="3"/>
      <c r="F150" s="3"/>
      <c r="G150" s="3"/>
      <c r="H150" s="24"/>
      <c r="I150" s="24"/>
      <c r="J150" s="24"/>
      <c r="K150" s="24"/>
      <c r="L150" s="3"/>
      <c r="M150" s="3"/>
      <c r="N150" s="3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3"/>
      <c r="B151" s="3"/>
      <c r="C151" s="3"/>
      <c r="D151" s="3"/>
      <c r="E151" s="3"/>
      <c r="F151" s="3"/>
      <c r="G151" s="3"/>
      <c r="H151" s="24"/>
      <c r="I151" s="24"/>
      <c r="J151" s="24"/>
      <c r="K151" s="24"/>
      <c r="L151" s="3"/>
      <c r="M151" s="3"/>
      <c r="N151" s="3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3"/>
      <c r="B152" s="3"/>
      <c r="C152" s="3"/>
      <c r="D152" s="3"/>
      <c r="E152" s="3"/>
      <c r="F152" s="3"/>
      <c r="G152" s="3"/>
      <c r="H152" s="24"/>
      <c r="I152" s="24"/>
      <c r="J152" s="24"/>
      <c r="K152" s="24"/>
      <c r="L152" s="3"/>
      <c r="M152" s="3"/>
      <c r="N152" s="3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3"/>
      <c r="B153" s="3"/>
      <c r="C153" s="3"/>
      <c r="D153" s="3"/>
      <c r="E153" s="3"/>
      <c r="F153" s="3"/>
      <c r="G153" s="3"/>
      <c r="H153" s="24"/>
      <c r="I153" s="24"/>
      <c r="J153" s="24"/>
      <c r="K153" s="24"/>
      <c r="L153" s="3"/>
      <c r="M153" s="3"/>
      <c r="N153" s="3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3"/>
      <c r="B154" s="3"/>
      <c r="C154" s="3"/>
      <c r="D154" s="3"/>
      <c r="E154" s="3"/>
      <c r="F154" s="3"/>
      <c r="G154" s="3"/>
      <c r="H154" s="24"/>
      <c r="I154" s="24"/>
      <c r="J154" s="24"/>
      <c r="K154" s="24"/>
      <c r="L154" s="3"/>
      <c r="M154" s="3"/>
      <c r="N154" s="3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3"/>
      <c r="B155" s="3"/>
      <c r="C155" s="3"/>
      <c r="D155" s="3"/>
      <c r="E155" s="3"/>
      <c r="F155" s="3"/>
      <c r="G155" s="3"/>
      <c r="H155" s="24"/>
      <c r="I155" s="24"/>
      <c r="J155" s="24"/>
      <c r="K155" s="24"/>
      <c r="L155" s="3"/>
      <c r="M155" s="3"/>
      <c r="N155" s="3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3"/>
      <c r="B156" s="3"/>
      <c r="C156" s="3"/>
      <c r="D156" s="3"/>
      <c r="E156" s="3"/>
      <c r="F156" s="3"/>
      <c r="G156" s="3"/>
      <c r="H156" s="24"/>
      <c r="I156" s="24"/>
      <c r="J156" s="24"/>
      <c r="K156" s="24"/>
      <c r="L156" s="3"/>
      <c r="M156" s="3"/>
      <c r="N156" s="3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3"/>
      <c r="B157" s="3"/>
      <c r="C157" s="3"/>
      <c r="D157" s="3"/>
      <c r="E157" s="3"/>
      <c r="F157" s="3"/>
      <c r="G157" s="3"/>
      <c r="H157" s="24"/>
      <c r="I157" s="24"/>
      <c r="J157" s="24"/>
      <c r="K157" s="24"/>
      <c r="L157" s="3"/>
      <c r="M157" s="3"/>
      <c r="N157" s="3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3"/>
      <c r="B158" s="3"/>
      <c r="C158" s="3"/>
      <c r="D158" s="3"/>
      <c r="E158" s="3"/>
      <c r="F158" s="3"/>
      <c r="G158" s="3"/>
      <c r="H158" s="24"/>
      <c r="I158" s="24"/>
      <c r="J158" s="24"/>
      <c r="K158" s="24"/>
      <c r="L158" s="3"/>
      <c r="M158" s="3"/>
      <c r="N158" s="3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3"/>
      <c r="B159" s="3"/>
      <c r="C159" s="3"/>
      <c r="D159" s="3"/>
      <c r="E159" s="3"/>
      <c r="F159" s="3"/>
      <c r="G159" s="3"/>
      <c r="H159" s="24"/>
      <c r="I159" s="24"/>
      <c r="J159" s="24"/>
      <c r="K159" s="24"/>
      <c r="L159" s="3"/>
      <c r="M159" s="3"/>
      <c r="N159" s="3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3"/>
      <c r="B160" s="3"/>
      <c r="C160" s="3"/>
      <c r="D160" s="3"/>
      <c r="E160" s="3"/>
      <c r="F160" s="3"/>
      <c r="G160" s="3"/>
      <c r="H160" s="24"/>
      <c r="I160" s="24"/>
      <c r="J160" s="24"/>
      <c r="K160" s="24"/>
      <c r="L160" s="3"/>
      <c r="M160" s="3"/>
      <c r="N160" s="3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3"/>
      <c r="B161" s="3"/>
      <c r="C161" s="3"/>
      <c r="D161" s="3"/>
      <c r="E161" s="3"/>
      <c r="F161" s="3"/>
      <c r="G161" s="3"/>
      <c r="H161" s="24"/>
      <c r="I161" s="24"/>
      <c r="J161" s="24"/>
      <c r="K161" s="24"/>
      <c r="L161" s="3"/>
      <c r="M161" s="3"/>
      <c r="N161" s="3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3"/>
      <c r="B162" s="3"/>
      <c r="C162" s="3"/>
      <c r="D162" s="3"/>
      <c r="E162" s="3"/>
      <c r="F162" s="3"/>
      <c r="G162" s="3"/>
      <c r="H162" s="24"/>
      <c r="I162" s="24"/>
      <c r="J162" s="24"/>
      <c r="K162" s="24"/>
      <c r="L162" s="3"/>
      <c r="M162" s="3"/>
      <c r="N162" s="3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3"/>
      <c r="B163" s="3"/>
      <c r="C163" s="3"/>
      <c r="D163" s="3"/>
      <c r="E163" s="3"/>
      <c r="F163" s="3"/>
      <c r="G163" s="3"/>
      <c r="H163" s="24"/>
      <c r="I163" s="24"/>
      <c r="J163" s="24"/>
      <c r="K163" s="24"/>
      <c r="L163" s="3"/>
      <c r="M163" s="3"/>
      <c r="N163" s="3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3"/>
      <c r="B164" s="3"/>
      <c r="C164" s="3"/>
      <c r="D164" s="3"/>
      <c r="E164" s="3"/>
      <c r="F164" s="3"/>
      <c r="G164" s="3"/>
      <c r="H164" s="24"/>
      <c r="I164" s="24"/>
      <c r="J164" s="24"/>
      <c r="K164" s="24"/>
      <c r="L164" s="3"/>
      <c r="M164" s="3"/>
      <c r="N164" s="3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3"/>
      <c r="B165" s="3"/>
      <c r="C165" s="3"/>
      <c r="D165" s="3"/>
      <c r="E165" s="3"/>
      <c r="F165" s="3"/>
      <c r="G165" s="3"/>
      <c r="H165" s="24"/>
      <c r="I165" s="24"/>
      <c r="J165" s="24"/>
      <c r="K165" s="24"/>
      <c r="L165" s="3"/>
      <c r="M165" s="3"/>
      <c r="N165" s="3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3"/>
      <c r="B166" s="3"/>
      <c r="C166" s="3"/>
      <c r="D166" s="3"/>
      <c r="E166" s="3"/>
      <c r="F166" s="3"/>
      <c r="G166" s="3"/>
      <c r="H166" s="24"/>
      <c r="I166" s="24"/>
      <c r="J166" s="24"/>
      <c r="K166" s="24"/>
      <c r="L166" s="3"/>
      <c r="M166" s="3"/>
      <c r="N166" s="3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3"/>
      <c r="B167" s="3"/>
      <c r="C167" s="3"/>
      <c r="D167" s="3"/>
      <c r="E167" s="3"/>
      <c r="F167" s="3"/>
      <c r="G167" s="3"/>
      <c r="H167" s="24"/>
      <c r="I167" s="24"/>
      <c r="J167" s="24"/>
      <c r="K167" s="24"/>
      <c r="L167" s="3"/>
      <c r="M167" s="3"/>
      <c r="N167" s="3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3"/>
      <c r="B168" s="3"/>
      <c r="C168" s="3"/>
      <c r="D168" s="3"/>
      <c r="E168" s="3"/>
      <c r="F168" s="3"/>
      <c r="G168" s="3"/>
      <c r="H168" s="24"/>
      <c r="I168" s="24"/>
      <c r="J168" s="24"/>
      <c r="K168" s="24"/>
      <c r="L168" s="3"/>
      <c r="M168" s="3"/>
      <c r="N168" s="3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3"/>
      <c r="B169" s="3"/>
      <c r="C169" s="3"/>
      <c r="D169" s="3"/>
      <c r="E169" s="3"/>
      <c r="F169" s="3"/>
      <c r="G169" s="3"/>
      <c r="H169" s="24"/>
      <c r="I169" s="24"/>
      <c r="J169" s="24"/>
      <c r="K169" s="24"/>
      <c r="L169" s="3"/>
      <c r="M169" s="3"/>
      <c r="N169" s="3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3"/>
      <c r="B170" s="3"/>
      <c r="C170" s="3"/>
      <c r="D170" s="3"/>
      <c r="E170" s="3"/>
      <c r="F170" s="3"/>
      <c r="G170" s="3"/>
      <c r="H170" s="24"/>
      <c r="I170" s="24"/>
      <c r="J170" s="24"/>
      <c r="K170" s="24"/>
      <c r="L170" s="3"/>
      <c r="M170" s="3"/>
      <c r="N170" s="3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3"/>
      <c r="B171" s="3"/>
      <c r="C171" s="3"/>
      <c r="D171" s="3"/>
      <c r="E171" s="3"/>
      <c r="F171" s="3"/>
      <c r="G171" s="3"/>
      <c r="H171" s="24"/>
      <c r="I171" s="24"/>
      <c r="J171" s="24"/>
      <c r="K171" s="24"/>
      <c r="L171" s="3"/>
      <c r="M171" s="3"/>
      <c r="N171" s="3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3"/>
      <c r="B172" s="3"/>
      <c r="C172" s="3"/>
      <c r="D172" s="3"/>
      <c r="E172" s="3"/>
      <c r="F172" s="3"/>
      <c r="G172" s="3"/>
      <c r="H172" s="24"/>
      <c r="I172" s="24"/>
      <c r="J172" s="24"/>
      <c r="K172" s="24"/>
      <c r="L172" s="3"/>
      <c r="M172" s="3"/>
      <c r="N172" s="3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3"/>
      <c r="B173" s="3"/>
      <c r="C173" s="3"/>
      <c r="D173" s="3"/>
      <c r="E173" s="3"/>
      <c r="F173" s="3"/>
      <c r="G173" s="3"/>
      <c r="H173" s="24"/>
      <c r="I173" s="24"/>
      <c r="J173" s="24"/>
      <c r="K173" s="24"/>
      <c r="L173" s="3"/>
      <c r="M173" s="3"/>
      <c r="N173" s="3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3"/>
      <c r="B174" s="3"/>
      <c r="C174" s="3"/>
      <c r="D174" s="3"/>
      <c r="E174" s="3"/>
      <c r="F174" s="3"/>
      <c r="G174" s="3"/>
      <c r="H174" s="24"/>
      <c r="I174" s="24"/>
      <c r="J174" s="24"/>
      <c r="K174" s="24"/>
      <c r="L174" s="3"/>
      <c r="M174" s="3"/>
      <c r="N174" s="3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3"/>
      <c r="B175" s="3"/>
      <c r="C175" s="3"/>
      <c r="D175" s="3"/>
      <c r="E175" s="3"/>
      <c r="F175" s="3"/>
      <c r="G175" s="3"/>
      <c r="H175" s="24"/>
      <c r="I175" s="24"/>
      <c r="J175" s="24"/>
      <c r="K175" s="24"/>
      <c r="L175" s="3"/>
      <c r="M175" s="3"/>
      <c r="N175" s="3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3"/>
      <c r="B176" s="3"/>
      <c r="C176" s="3"/>
      <c r="D176" s="3"/>
      <c r="E176" s="3"/>
      <c r="F176" s="3"/>
      <c r="G176" s="3"/>
      <c r="H176" s="24"/>
      <c r="I176" s="24"/>
      <c r="J176" s="24"/>
      <c r="K176" s="24"/>
      <c r="L176" s="3"/>
      <c r="M176" s="3"/>
      <c r="N176" s="3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3"/>
      <c r="B177" s="3"/>
      <c r="C177" s="3"/>
      <c r="D177" s="3"/>
      <c r="E177" s="3"/>
      <c r="F177" s="3"/>
      <c r="G177" s="3"/>
      <c r="H177" s="24"/>
      <c r="I177" s="24"/>
      <c r="J177" s="24"/>
      <c r="K177" s="24"/>
      <c r="L177" s="3"/>
      <c r="M177" s="3"/>
      <c r="N177" s="3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3"/>
      <c r="B178" s="3"/>
      <c r="C178" s="3"/>
      <c r="D178" s="3"/>
      <c r="E178" s="3"/>
      <c r="F178" s="3"/>
      <c r="G178" s="3"/>
      <c r="H178" s="24"/>
      <c r="I178" s="24"/>
      <c r="J178" s="24"/>
      <c r="K178" s="24"/>
      <c r="L178" s="3"/>
      <c r="M178" s="3"/>
      <c r="N178" s="3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3"/>
      <c r="B179" s="3"/>
      <c r="C179" s="3"/>
      <c r="D179" s="3"/>
      <c r="E179" s="3"/>
      <c r="F179" s="3"/>
      <c r="G179" s="3"/>
      <c r="H179" s="24"/>
      <c r="I179" s="24"/>
      <c r="J179" s="24"/>
      <c r="K179" s="24"/>
      <c r="L179" s="3"/>
      <c r="M179" s="3"/>
      <c r="N179" s="3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3"/>
      <c r="B180" s="3"/>
      <c r="C180" s="3"/>
      <c r="D180" s="3"/>
      <c r="E180" s="3"/>
      <c r="F180" s="3"/>
      <c r="G180" s="3"/>
      <c r="H180" s="24"/>
      <c r="I180" s="24"/>
      <c r="J180" s="24"/>
      <c r="K180" s="24"/>
      <c r="L180" s="3"/>
      <c r="M180" s="3"/>
      <c r="N180" s="3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3"/>
      <c r="B181" s="3"/>
      <c r="C181" s="3"/>
      <c r="D181" s="3"/>
      <c r="E181" s="3"/>
      <c r="F181" s="3"/>
      <c r="G181" s="3"/>
      <c r="H181" s="24"/>
      <c r="I181" s="24"/>
      <c r="J181" s="24"/>
      <c r="K181" s="24"/>
      <c r="L181" s="3"/>
      <c r="M181" s="3"/>
      <c r="N181" s="3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3"/>
      <c r="B182" s="3"/>
      <c r="C182" s="3"/>
      <c r="D182" s="3"/>
      <c r="E182" s="3"/>
      <c r="F182" s="3"/>
      <c r="G182" s="3"/>
      <c r="H182" s="24"/>
      <c r="I182" s="24"/>
      <c r="J182" s="24"/>
      <c r="K182" s="24"/>
      <c r="L182" s="3"/>
      <c r="M182" s="3"/>
      <c r="N182" s="3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3"/>
      <c r="B183" s="3"/>
      <c r="C183" s="3"/>
      <c r="D183" s="3"/>
      <c r="E183" s="3"/>
      <c r="F183" s="3"/>
      <c r="G183" s="3"/>
      <c r="H183" s="24"/>
      <c r="I183" s="24"/>
      <c r="J183" s="24"/>
      <c r="K183" s="24"/>
      <c r="L183" s="3"/>
      <c r="M183" s="3"/>
      <c r="N183" s="3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3"/>
      <c r="B184" s="3"/>
      <c r="C184" s="3"/>
      <c r="D184" s="3"/>
      <c r="E184" s="3"/>
      <c r="F184" s="3"/>
      <c r="G184" s="3"/>
      <c r="H184" s="24"/>
      <c r="I184" s="24"/>
      <c r="J184" s="24"/>
      <c r="K184" s="24"/>
      <c r="L184" s="3"/>
      <c r="M184" s="3"/>
      <c r="N184" s="3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3"/>
      <c r="B185" s="3"/>
      <c r="C185" s="3"/>
      <c r="D185" s="3"/>
      <c r="E185" s="3"/>
      <c r="F185" s="3"/>
      <c r="G185" s="3"/>
      <c r="H185" s="24"/>
      <c r="I185" s="24"/>
      <c r="J185" s="24"/>
      <c r="K185" s="24"/>
      <c r="L185" s="3"/>
      <c r="M185" s="3"/>
      <c r="N185" s="3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3"/>
      <c r="B186" s="3"/>
      <c r="C186" s="3"/>
      <c r="D186" s="3"/>
      <c r="E186" s="3"/>
      <c r="F186" s="3"/>
      <c r="G186" s="3"/>
      <c r="H186" s="24"/>
      <c r="I186" s="24"/>
      <c r="J186" s="24"/>
      <c r="K186" s="24"/>
      <c r="L186" s="3"/>
      <c r="M186" s="3"/>
      <c r="N186" s="3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3"/>
      <c r="B187" s="3"/>
      <c r="C187" s="3"/>
      <c r="D187" s="3"/>
      <c r="E187" s="3"/>
      <c r="F187" s="3"/>
      <c r="G187" s="3"/>
      <c r="H187" s="24"/>
      <c r="I187" s="24"/>
      <c r="J187" s="24"/>
      <c r="K187" s="24"/>
      <c r="L187" s="3"/>
      <c r="M187" s="3"/>
      <c r="N187" s="3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3"/>
      <c r="B188" s="3"/>
      <c r="C188" s="3"/>
      <c r="D188" s="3"/>
      <c r="E188" s="3"/>
      <c r="F188" s="3"/>
      <c r="G188" s="3"/>
      <c r="H188" s="24"/>
      <c r="I188" s="24"/>
      <c r="J188" s="24"/>
      <c r="K188" s="24"/>
      <c r="L188" s="3"/>
      <c r="M188" s="3"/>
      <c r="N188" s="3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3"/>
      <c r="B189" s="3"/>
      <c r="C189" s="3"/>
      <c r="D189" s="3"/>
      <c r="E189" s="3"/>
      <c r="F189" s="3"/>
      <c r="G189" s="3"/>
      <c r="H189" s="24"/>
      <c r="I189" s="24"/>
      <c r="J189" s="24"/>
      <c r="K189" s="24"/>
      <c r="L189" s="3"/>
      <c r="M189" s="3"/>
      <c r="N189" s="3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3"/>
      <c r="B190" s="3"/>
      <c r="C190" s="3"/>
      <c r="D190" s="3"/>
      <c r="E190" s="3"/>
      <c r="F190" s="3"/>
      <c r="G190" s="3"/>
      <c r="H190" s="24"/>
      <c r="I190" s="24"/>
      <c r="J190" s="24"/>
      <c r="K190" s="24"/>
      <c r="L190" s="3"/>
      <c r="M190" s="3"/>
      <c r="N190" s="3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3"/>
      <c r="B191" s="3"/>
      <c r="C191" s="3"/>
      <c r="D191" s="3"/>
      <c r="E191" s="3"/>
      <c r="F191" s="3"/>
      <c r="G191" s="3"/>
      <c r="H191" s="24"/>
      <c r="I191" s="24"/>
      <c r="J191" s="24"/>
      <c r="K191" s="24"/>
      <c r="L191" s="3"/>
      <c r="M191" s="3"/>
      <c r="N191" s="3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3"/>
      <c r="B192" s="3"/>
      <c r="C192" s="3"/>
      <c r="D192" s="3"/>
      <c r="E192" s="3"/>
      <c r="F192" s="3"/>
      <c r="G192" s="3"/>
      <c r="H192" s="24"/>
      <c r="I192" s="24"/>
      <c r="J192" s="24"/>
      <c r="K192" s="24"/>
      <c r="L192" s="3"/>
      <c r="M192" s="3"/>
      <c r="N192" s="3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3"/>
      <c r="B193" s="3"/>
      <c r="C193" s="3"/>
      <c r="D193" s="3"/>
      <c r="E193" s="3"/>
      <c r="F193" s="3"/>
      <c r="G193" s="3"/>
      <c r="H193" s="24"/>
      <c r="I193" s="24"/>
      <c r="J193" s="24"/>
      <c r="K193" s="24"/>
      <c r="L193" s="3"/>
      <c r="M193" s="3"/>
      <c r="N193" s="3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3"/>
      <c r="B194" s="3"/>
      <c r="C194" s="3"/>
      <c r="D194" s="3"/>
      <c r="E194" s="3"/>
      <c r="F194" s="3"/>
      <c r="G194" s="3"/>
      <c r="H194" s="24"/>
      <c r="I194" s="24"/>
      <c r="J194" s="24"/>
      <c r="K194" s="24"/>
      <c r="L194" s="3"/>
      <c r="M194" s="3"/>
      <c r="N194" s="3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3"/>
      <c r="B195" s="3"/>
      <c r="C195" s="3"/>
      <c r="D195" s="3"/>
      <c r="E195" s="3"/>
      <c r="F195" s="3"/>
      <c r="G195" s="3"/>
      <c r="H195" s="24"/>
      <c r="I195" s="24"/>
      <c r="J195" s="24"/>
      <c r="K195" s="24"/>
      <c r="L195" s="3"/>
      <c r="M195" s="3"/>
      <c r="N195" s="3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3"/>
      <c r="B196" s="3"/>
      <c r="C196" s="3"/>
      <c r="D196" s="3"/>
      <c r="E196" s="3"/>
      <c r="F196" s="3"/>
      <c r="G196" s="3"/>
      <c r="H196" s="24"/>
      <c r="I196" s="24"/>
      <c r="J196" s="24"/>
      <c r="K196" s="24"/>
      <c r="L196" s="3"/>
      <c r="M196" s="3"/>
      <c r="N196" s="3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3"/>
      <c r="B197" s="3"/>
      <c r="C197" s="3"/>
      <c r="D197" s="3"/>
      <c r="E197" s="3"/>
      <c r="F197" s="3"/>
      <c r="G197" s="3"/>
      <c r="H197" s="24"/>
      <c r="I197" s="24"/>
      <c r="J197" s="24"/>
      <c r="K197" s="24"/>
      <c r="L197" s="3"/>
      <c r="M197" s="3"/>
      <c r="N197" s="3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3"/>
      <c r="B198" s="3"/>
      <c r="C198" s="3"/>
      <c r="D198" s="3"/>
      <c r="E198" s="3"/>
      <c r="F198" s="3"/>
      <c r="G198" s="3"/>
      <c r="H198" s="24"/>
      <c r="I198" s="24"/>
      <c r="J198" s="24"/>
      <c r="K198" s="24"/>
      <c r="L198" s="3"/>
      <c r="M198" s="3"/>
      <c r="N198" s="3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3"/>
      <c r="B199" s="3"/>
      <c r="C199" s="3"/>
      <c r="D199" s="3"/>
      <c r="E199" s="3"/>
      <c r="F199" s="3"/>
      <c r="G199" s="3"/>
      <c r="H199" s="24"/>
      <c r="I199" s="24"/>
      <c r="J199" s="24"/>
      <c r="K199" s="24"/>
      <c r="L199" s="3"/>
      <c r="M199" s="3"/>
      <c r="N199" s="3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3"/>
      <c r="B200" s="3"/>
      <c r="C200" s="3"/>
      <c r="D200" s="3"/>
      <c r="E200" s="3"/>
      <c r="F200" s="3"/>
      <c r="G200" s="3"/>
      <c r="H200" s="24"/>
      <c r="I200" s="24"/>
      <c r="J200" s="24"/>
      <c r="K200" s="24"/>
      <c r="L200" s="3"/>
      <c r="M200" s="3"/>
      <c r="N200" s="3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3"/>
      <c r="B201" s="3"/>
      <c r="C201" s="3"/>
      <c r="D201" s="3"/>
      <c r="E201" s="3"/>
      <c r="F201" s="3"/>
      <c r="G201" s="3"/>
      <c r="H201" s="24"/>
      <c r="I201" s="24"/>
      <c r="J201" s="24"/>
      <c r="K201" s="24"/>
      <c r="L201" s="3"/>
      <c r="M201" s="3"/>
      <c r="N201" s="3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3"/>
      <c r="B202" s="3"/>
      <c r="C202" s="3"/>
      <c r="D202" s="3"/>
      <c r="E202" s="3"/>
      <c r="F202" s="3"/>
      <c r="G202" s="3"/>
      <c r="H202" s="24"/>
      <c r="I202" s="24"/>
      <c r="J202" s="24"/>
      <c r="K202" s="24"/>
      <c r="L202" s="3"/>
      <c r="M202" s="3"/>
      <c r="N202" s="3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3"/>
      <c r="B203" s="3"/>
      <c r="C203" s="3"/>
      <c r="D203" s="3"/>
      <c r="E203" s="3"/>
      <c r="F203" s="3"/>
      <c r="G203" s="3"/>
      <c r="H203" s="24"/>
      <c r="I203" s="24"/>
      <c r="J203" s="24"/>
      <c r="K203" s="24"/>
      <c r="L203" s="3"/>
      <c r="M203" s="3"/>
      <c r="N203" s="3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3"/>
      <c r="B204" s="3"/>
      <c r="C204" s="3"/>
      <c r="D204" s="3"/>
      <c r="E204" s="3"/>
      <c r="F204" s="3"/>
      <c r="G204" s="3"/>
      <c r="H204" s="24"/>
      <c r="I204" s="24"/>
      <c r="J204" s="24"/>
      <c r="K204" s="24"/>
      <c r="L204" s="3"/>
      <c r="M204" s="3"/>
      <c r="N204" s="3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3"/>
      <c r="B205" s="3"/>
      <c r="C205" s="3"/>
      <c r="D205" s="3"/>
      <c r="E205" s="3"/>
      <c r="F205" s="3"/>
      <c r="G205" s="3"/>
      <c r="H205" s="24"/>
      <c r="I205" s="24"/>
      <c r="J205" s="24"/>
      <c r="K205" s="24"/>
      <c r="L205" s="3"/>
      <c r="M205" s="3"/>
      <c r="N205" s="3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3"/>
      <c r="B206" s="3"/>
      <c r="C206" s="3"/>
      <c r="D206" s="3"/>
      <c r="E206" s="3"/>
      <c r="F206" s="3"/>
      <c r="G206" s="3"/>
      <c r="H206" s="24"/>
      <c r="I206" s="24"/>
      <c r="J206" s="24"/>
      <c r="K206" s="24"/>
      <c r="L206" s="3"/>
      <c r="M206" s="3"/>
      <c r="N206" s="3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3"/>
      <c r="B207" s="3"/>
      <c r="C207" s="3"/>
      <c r="D207" s="3"/>
      <c r="E207" s="3"/>
      <c r="F207" s="3"/>
      <c r="G207" s="3"/>
      <c r="H207" s="24"/>
      <c r="I207" s="24"/>
      <c r="J207" s="24"/>
      <c r="K207" s="24"/>
      <c r="L207" s="3"/>
      <c r="M207" s="3"/>
      <c r="N207" s="3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3"/>
      <c r="B208" s="3"/>
      <c r="C208" s="3"/>
      <c r="D208" s="3"/>
      <c r="E208" s="3"/>
      <c r="F208" s="3"/>
      <c r="G208" s="3"/>
      <c r="H208" s="24"/>
      <c r="I208" s="24"/>
      <c r="J208" s="24"/>
      <c r="K208" s="24"/>
      <c r="L208" s="3"/>
      <c r="M208" s="3"/>
      <c r="N208" s="3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3"/>
      <c r="B209" s="3"/>
      <c r="C209" s="3"/>
      <c r="D209" s="3"/>
      <c r="E209" s="3"/>
      <c r="F209" s="3"/>
      <c r="G209" s="3"/>
      <c r="H209" s="24"/>
      <c r="I209" s="24"/>
      <c r="J209" s="24"/>
      <c r="K209" s="24"/>
      <c r="L209" s="3"/>
      <c r="M209" s="3"/>
      <c r="N209" s="3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3"/>
      <c r="B210" s="3"/>
      <c r="C210" s="3"/>
      <c r="D210" s="3"/>
      <c r="E210" s="3"/>
      <c r="F210" s="3"/>
      <c r="G210" s="3"/>
      <c r="H210" s="24"/>
      <c r="I210" s="24"/>
      <c r="J210" s="24"/>
      <c r="K210" s="24"/>
      <c r="L210" s="3"/>
      <c r="M210" s="3"/>
      <c r="N210" s="3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2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2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2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2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2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2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2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2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2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2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2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2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2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2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2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2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2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2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2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2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2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2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2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2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2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2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2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2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2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2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2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2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2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2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2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2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2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2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2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2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2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2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2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2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2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2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2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2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2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2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2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2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2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2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2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2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2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2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2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2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2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2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2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2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2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2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2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2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2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2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2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2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2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2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2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2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2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2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2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2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2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2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2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2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2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2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2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2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2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2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2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2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2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2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2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2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2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2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2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2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2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2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2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2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2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2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2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2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2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2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2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2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2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2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2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2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2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2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2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2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2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2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2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2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2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2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2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2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2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2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2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2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2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2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2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2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2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2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2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2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2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2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2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2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2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2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2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2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2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2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2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2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2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2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2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2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2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2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2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2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2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2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2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2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2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2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2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2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2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2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2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2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2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2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2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2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2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2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2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2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2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2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2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2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2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2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2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2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2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2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2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2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2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2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2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2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2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2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2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2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2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2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2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2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2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2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2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2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2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2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2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2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2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2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2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2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2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2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2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2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2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2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2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2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2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2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2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2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2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2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2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2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2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2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2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2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2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2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2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2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2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2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2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2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2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2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2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2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2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2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2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2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2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2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2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2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2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2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2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2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2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2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2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2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2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2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2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2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2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2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2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2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2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2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2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2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2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2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2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2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2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2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2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2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2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2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2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2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2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2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2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2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2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2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2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2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2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2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2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2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2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2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2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2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2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2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2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2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2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2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2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2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2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2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2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2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2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2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2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2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2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2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2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2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2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2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2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2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2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2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2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2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2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2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2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2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2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2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2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2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2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2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2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2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2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2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2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2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2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2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2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2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2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2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2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2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2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2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2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2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2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2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2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2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2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2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2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2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2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2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2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2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2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2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2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2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2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2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2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2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2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2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2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2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2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2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2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2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2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2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2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2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2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2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2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2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2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2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2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2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2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2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2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2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2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2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2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2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2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2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2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2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2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2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2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2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2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2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2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2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2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2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2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2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2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2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2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2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2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2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2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2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2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2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2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2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2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2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2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2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2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2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2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2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2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2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2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2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2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2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2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2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2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2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2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2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2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2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2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2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2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2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2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2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2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2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2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2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2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2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2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2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2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2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2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2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2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2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2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2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2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2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2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2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2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2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2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2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2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2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2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2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2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2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2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2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2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2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2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2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2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2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2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2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2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2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2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2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2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2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2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2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2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2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2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2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2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2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2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2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2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2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2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2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2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2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2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2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2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2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2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2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2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2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2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2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2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2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2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2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2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2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2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2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2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2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2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2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2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2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2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2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2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2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2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2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2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2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2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2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2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2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2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2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2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2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2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2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2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2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2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2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2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2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2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2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2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2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2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2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2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2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2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2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2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2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2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2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2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2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2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2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2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2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2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2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2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2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2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2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2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2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2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2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2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2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2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2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2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2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2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2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2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2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2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2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2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2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2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2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2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2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2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2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2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2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2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2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2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2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2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2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2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2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2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2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2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2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2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2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2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2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2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2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2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2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2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2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2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2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2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2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2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2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2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2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2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2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2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2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2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2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2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2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2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2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2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2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2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2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2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2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2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2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2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2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2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2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2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2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2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2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2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2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2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2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2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2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2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2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2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2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2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2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2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2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2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2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2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2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2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2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2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2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2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2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2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2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2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2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2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2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2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2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2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2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2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2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2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2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2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2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2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2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2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2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2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2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2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2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2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2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2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2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2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2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2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2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2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2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2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2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2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2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2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2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2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2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2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2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2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2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2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2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2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2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2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2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2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2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2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</sheetData>
  <mergeCells count="30">
    <mergeCell ref="B5:C5"/>
    <mergeCell ref="D5:J5"/>
    <mergeCell ref="B2:E2"/>
    <mergeCell ref="F2:L2"/>
    <mergeCell ref="B3:L3"/>
    <mergeCell ref="B4:C4"/>
    <mergeCell ref="D4:J4"/>
    <mergeCell ref="B6:C6"/>
    <mergeCell ref="D6:J6"/>
    <mergeCell ref="K6:K7"/>
    <mergeCell ref="L6:L7"/>
    <mergeCell ref="B7:C7"/>
    <mergeCell ref="D7:J7"/>
    <mergeCell ref="B9:L9"/>
    <mergeCell ref="B10:C13"/>
    <mergeCell ref="D10:D13"/>
    <mergeCell ref="E10:J10"/>
    <mergeCell ref="K10:L10"/>
    <mergeCell ref="F11:G11"/>
    <mergeCell ref="H11:I11"/>
    <mergeCell ref="K11:L13"/>
    <mergeCell ref="E12:G12"/>
    <mergeCell ref="H12:J12"/>
    <mergeCell ref="B18:L18"/>
    <mergeCell ref="B14:C14"/>
    <mergeCell ref="K14:L14"/>
    <mergeCell ref="B15:C15"/>
    <mergeCell ref="K15:L15"/>
    <mergeCell ref="B16:C16"/>
    <mergeCell ref="K16:L16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8"/>
  <sheetViews>
    <sheetView topLeftCell="A17" workbookViewId="0">
      <selection activeCell="B7" sqref="B7"/>
    </sheetView>
  </sheetViews>
  <sheetFormatPr defaultColWidth="14.42578125" defaultRowHeight="15" customHeight="1"/>
  <cols>
    <col min="1" max="1" width="16.140625" customWidth="1"/>
    <col min="2" max="2" width="26" customWidth="1"/>
    <col min="3" max="3" width="20.42578125" customWidth="1"/>
    <col min="4" max="4" width="43.28515625" customWidth="1"/>
    <col min="5" max="5" width="46.28515625" customWidth="1"/>
  </cols>
  <sheetData>
    <row r="1" spans="1:27" ht="95.25" customHeight="1">
      <c r="A1" s="98"/>
      <c r="B1" s="111"/>
      <c r="C1" s="112"/>
      <c r="D1" s="99" t="str">
        <f>+'[1]Momento II'!F2</f>
        <v>Universidad de Santander - UDES
 Campus Virtual UDES
 Facultad de Ingenierías</v>
      </c>
      <c r="E1" s="112"/>
      <c r="F1" s="39"/>
      <c r="G1" s="39"/>
      <c r="H1" s="39"/>
      <c r="I1" s="39"/>
      <c r="J1" s="39"/>
      <c r="K1" s="39"/>
      <c r="L1" s="39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7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 spans="1:27" ht="18" customHeight="1">
      <c r="A3" s="41" t="s">
        <v>1</v>
      </c>
      <c r="B3" s="100" t="str">
        <f>'[1]Momento II'!D4</f>
        <v>Ingeniería de Software - Ingeniería Industrial - (Todos lo programas de Ingeniería)</v>
      </c>
      <c r="C3" s="111"/>
      <c r="D3" s="111"/>
      <c r="E3" s="11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8" customHeight="1">
      <c r="A4" s="41" t="s">
        <v>5</v>
      </c>
      <c r="B4" s="101" t="s">
        <v>6</v>
      </c>
      <c r="C4" s="111"/>
      <c r="D4" s="111"/>
      <c r="E4" s="11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35.25" customHeight="1">
      <c r="A6" s="102" t="s">
        <v>71</v>
      </c>
      <c r="B6" s="111"/>
      <c r="C6" s="111"/>
      <c r="D6" s="111"/>
      <c r="E6" s="11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23.25" customHeight="1">
      <c r="A7" s="50" t="s">
        <v>72</v>
      </c>
      <c r="B7" s="51" t="s">
        <v>73</v>
      </c>
      <c r="C7" s="97" t="s">
        <v>74</v>
      </c>
      <c r="D7" s="112"/>
      <c r="E7" s="50" t="s">
        <v>75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51" customHeight="1">
      <c r="A8" s="94" t="s">
        <v>76</v>
      </c>
      <c r="B8" s="43" t="s">
        <v>77</v>
      </c>
      <c r="C8" s="93" t="s">
        <v>78</v>
      </c>
      <c r="D8" s="112"/>
      <c r="E8" s="2" t="s">
        <v>79</v>
      </c>
      <c r="F8" s="44"/>
      <c r="G8" s="44"/>
      <c r="H8" s="44"/>
      <c r="I8" s="44"/>
      <c r="J8" s="44"/>
      <c r="K8" s="44"/>
      <c r="L8" s="44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29.45" customHeight="1">
      <c r="A9" s="113"/>
      <c r="B9" s="43" t="s">
        <v>80</v>
      </c>
      <c r="C9" s="93" t="s">
        <v>81</v>
      </c>
      <c r="D9" s="112"/>
      <c r="E9" s="2" t="s">
        <v>82</v>
      </c>
      <c r="F9" s="44"/>
      <c r="G9" s="44"/>
      <c r="H9" s="44"/>
      <c r="I9" s="44"/>
      <c r="J9" s="44"/>
      <c r="K9" s="44"/>
      <c r="L9" s="44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30" customHeight="1">
      <c r="A10" s="113"/>
      <c r="B10" s="43" t="s">
        <v>83</v>
      </c>
      <c r="C10" s="93" t="s">
        <v>84</v>
      </c>
      <c r="D10" s="112"/>
      <c r="E10" s="2" t="s">
        <v>79</v>
      </c>
      <c r="F10" s="44"/>
      <c r="G10" s="44"/>
      <c r="H10" s="44"/>
      <c r="I10" s="44"/>
      <c r="J10" s="44"/>
      <c r="K10" s="44"/>
      <c r="L10" s="44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30" customHeight="1">
      <c r="A11" s="113"/>
      <c r="B11" s="43" t="s">
        <v>85</v>
      </c>
      <c r="C11" s="93" t="s">
        <v>86</v>
      </c>
      <c r="D11" s="96"/>
      <c r="E11" s="2" t="s">
        <v>79</v>
      </c>
      <c r="F11" s="44"/>
      <c r="G11" s="44"/>
      <c r="H11" s="44"/>
      <c r="I11" s="44"/>
      <c r="J11" s="44"/>
      <c r="K11" s="44"/>
      <c r="L11" s="44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48" customHeight="1">
      <c r="A12" s="113"/>
      <c r="B12" s="43" t="s">
        <v>87</v>
      </c>
      <c r="C12" s="93" t="s">
        <v>88</v>
      </c>
      <c r="D12" s="114"/>
      <c r="E12" s="2" t="s">
        <v>89</v>
      </c>
      <c r="F12" s="44"/>
      <c r="G12" s="44"/>
      <c r="H12" s="44"/>
      <c r="I12" s="44"/>
      <c r="J12" s="44"/>
      <c r="K12" s="44"/>
      <c r="L12" s="44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27" customHeight="1">
      <c r="A13" s="113"/>
      <c r="B13" s="43" t="s">
        <v>90</v>
      </c>
      <c r="C13" s="93" t="s">
        <v>91</v>
      </c>
      <c r="D13" s="114"/>
      <c r="E13" s="2" t="s">
        <v>92</v>
      </c>
      <c r="F13" s="44"/>
      <c r="G13" s="44"/>
      <c r="H13" s="44"/>
      <c r="I13" s="44"/>
      <c r="J13" s="44"/>
      <c r="K13" s="44"/>
      <c r="L13" s="44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49.15" customHeight="1">
      <c r="A14" s="94" t="s">
        <v>93</v>
      </c>
      <c r="B14" s="43" t="s">
        <v>94</v>
      </c>
      <c r="C14" s="93" t="s">
        <v>95</v>
      </c>
      <c r="D14" s="112"/>
      <c r="E14" s="2" t="s">
        <v>79</v>
      </c>
      <c r="F14" s="44"/>
      <c r="G14" s="44"/>
      <c r="H14" s="44"/>
      <c r="I14" s="44"/>
      <c r="J14" s="44"/>
      <c r="K14" s="44"/>
      <c r="L14" s="44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49.15" customHeight="1">
      <c r="A15" s="95"/>
      <c r="B15" s="43" t="s">
        <v>96</v>
      </c>
      <c r="C15" s="93" t="s">
        <v>97</v>
      </c>
      <c r="D15" s="114"/>
      <c r="E15" s="2" t="s">
        <v>98</v>
      </c>
      <c r="F15" s="44"/>
      <c r="G15" s="44"/>
      <c r="H15" s="44"/>
      <c r="I15" s="44"/>
      <c r="J15" s="44"/>
      <c r="K15" s="44"/>
      <c r="L15" s="44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49.15" customHeight="1">
      <c r="A16" s="95"/>
      <c r="B16" s="43" t="s">
        <v>99</v>
      </c>
      <c r="C16" s="93" t="s">
        <v>100</v>
      </c>
      <c r="D16" s="114"/>
      <c r="E16" s="2" t="s">
        <v>79</v>
      </c>
      <c r="F16" s="44"/>
      <c r="G16" s="44"/>
      <c r="H16" s="44"/>
      <c r="I16" s="44"/>
      <c r="J16" s="44"/>
      <c r="K16" s="44"/>
      <c r="L16" s="44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49.15" customHeight="1">
      <c r="A17" s="95"/>
      <c r="B17" s="43" t="s">
        <v>101</v>
      </c>
      <c r="C17" s="93" t="s">
        <v>102</v>
      </c>
      <c r="D17" s="114"/>
      <c r="E17" s="2" t="s">
        <v>103</v>
      </c>
      <c r="F17" s="44"/>
      <c r="G17" s="44"/>
      <c r="H17" s="44"/>
      <c r="I17" s="44"/>
      <c r="J17" s="44"/>
      <c r="K17" s="44"/>
      <c r="L17" s="44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49.15" customHeight="1">
      <c r="A18" s="95"/>
      <c r="B18" s="43" t="s">
        <v>104</v>
      </c>
      <c r="C18" s="93" t="s">
        <v>105</v>
      </c>
      <c r="D18" s="114"/>
      <c r="E18" s="2" t="s">
        <v>106</v>
      </c>
      <c r="F18" s="44"/>
      <c r="G18" s="44"/>
      <c r="H18" s="44"/>
      <c r="I18" s="44"/>
      <c r="J18" s="44"/>
      <c r="K18" s="44"/>
      <c r="L18" s="44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ht="28.9" customHeight="1">
      <c r="A19" s="113"/>
      <c r="B19" s="43" t="s">
        <v>107</v>
      </c>
      <c r="C19" s="93" t="s">
        <v>108</v>
      </c>
      <c r="D19" s="112"/>
      <c r="E19" s="2" t="s">
        <v>109</v>
      </c>
      <c r="F19" s="44"/>
      <c r="G19" s="44"/>
      <c r="H19" s="44"/>
      <c r="I19" s="44"/>
      <c r="J19" s="44"/>
      <c r="K19" s="44"/>
      <c r="L19" s="44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25.9" customHeight="1">
      <c r="A20" s="92" t="s">
        <v>110</v>
      </c>
      <c r="B20" s="48" t="s">
        <v>111</v>
      </c>
      <c r="C20" s="93" t="s">
        <v>112</v>
      </c>
      <c r="D20" s="114"/>
      <c r="E20" s="2" t="s">
        <v>79</v>
      </c>
      <c r="F20" s="44"/>
      <c r="G20" s="44"/>
      <c r="H20" s="44"/>
      <c r="I20" s="44"/>
      <c r="J20" s="44"/>
      <c r="K20" s="44"/>
      <c r="L20" s="44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25.9" customHeight="1">
      <c r="A21" s="92"/>
      <c r="B21" s="48" t="s">
        <v>113</v>
      </c>
      <c r="C21" s="93" t="s">
        <v>114</v>
      </c>
      <c r="D21" s="114"/>
      <c r="E21" s="2" t="s">
        <v>79</v>
      </c>
      <c r="F21" s="44"/>
      <c r="G21" s="44"/>
      <c r="H21" s="44"/>
      <c r="I21" s="44"/>
      <c r="J21" s="44"/>
      <c r="K21" s="44"/>
      <c r="L21" s="44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25.9" customHeight="1">
      <c r="A22" s="92"/>
      <c r="B22" s="48" t="s">
        <v>115</v>
      </c>
      <c r="C22" s="93" t="s">
        <v>116</v>
      </c>
      <c r="D22" s="114"/>
      <c r="E22" s="2" t="s">
        <v>117</v>
      </c>
      <c r="F22" s="44"/>
      <c r="G22" s="44"/>
      <c r="H22" s="44"/>
      <c r="I22" s="44"/>
      <c r="J22" s="44"/>
      <c r="K22" s="44"/>
      <c r="L22" s="44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25.9" customHeight="1">
      <c r="A23" s="92"/>
      <c r="B23" s="48" t="s">
        <v>118</v>
      </c>
      <c r="C23" s="93" t="s">
        <v>119</v>
      </c>
      <c r="D23" s="114"/>
      <c r="E23" s="2" t="s">
        <v>120</v>
      </c>
      <c r="F23" s="44"/>
      <c r="G23" s="44"/>
      <c r="H23" s="44"/>
      <c r="I23" s="44"/>
      <c r="J23" s="44"/>
      <c r="K23" s="44"/>
      <c r="L23" s="44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25.9" customHeight="1">
      <c r="A24" s="92"/>
      <c r="B24" s="48" t="s">
        <v>121</v>
      </c>
      <c r="C24" s="93" t="s">
        <v>122</v>
      </c>
      <c r="D24" s="114"/>
      <c r="E24" s="2" t="s">
        <v>79</v>
      </c>
      <c r="F24" s="44"/>
      <c r="G24" s="44"/>
      <c r="H24" s="44"/>
      <c r="I24" s="44"/>
      <c r="J24" s="44"/>
      <c r="K24" s="44"/>
      <c r="L24" s="44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48.6" customHeight="1">
      <c r="A25" s="92"/>
      <c r="B25" s="48" t="s">
        <v>123</v>
      </c>
      <c r="C25" s="93" t="s">
        <v>124</v>
      </c>
      <c r="D25" s="114"/>
      <c r="E25" s="2" t="s">
        <v>103</v>
      </c>
      <c r="F25" s="44"/>
      <c r="G25" s="44"/>
      <c r="H25" s="44"/>
      <c r="I25" s="44"/>
      <c r="J25" s="44"/>
      <c r="K25" s="44"/>
      <c r="L25" s="44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>
      <c r="A26" s="49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>
      <c r="A33" s="42"/>
      <c r="B33" s="42"/>
      <c r="C33" s="42"/>
      <c r="D33" s="42"/>
      <c r="E33" s="42"/>
      <c r="F33" s="44"/>
      <c r="G33" s="44"/>
      <c r="H33" s="44"/>
      <c r="I33" s="44"/>
      <c r="J33" s="44"/>
      <c r="K33" s="44"/>
      <c r="L33" s="44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spans="1:27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spans="1:27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spans="1:27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spans="1:27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spans="1:27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spans="1:27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spans="1:27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spans="1:2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spans="1:27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spans="1:27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1:27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spans="1:27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spans="1:27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spans="1:27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1:27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spans="1:27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spans="1:27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spans="1:2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spans="1:27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spans="1:27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spans="1:27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spans="1:27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spans="1:27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spans="1:27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spans="1:27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spans="1:27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spans="1:27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spans="1:2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spans="1:27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spans="1:27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spans="1:27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spans="1:27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spans="1:27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spans="1:27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spans="1:27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spans="1:27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spans="1:27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spans="1:27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spans="1:27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spans="1:27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spans="1:2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spans="1:27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spans="1:27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spans="1:27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spans="1:27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spans="1:27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spans="1:27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spans="1:27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spans="1:27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spans="1:27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spans="1:27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spans="1:27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spans="1:27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spans="1:27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spans="1:27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spans="1:2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spans="1:27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spans="1:27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spans="1:27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spans="1:27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spans="1:27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spans="1:27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spans="1:27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spans="1:27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spans="1:27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spans="1:27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spans="1:27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spans="1:2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spans="1:27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spans="1:27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spans="1:27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 spans="1:27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 spans="1:27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 spans="1:27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  <row r="1004" spans="1:27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</row>
    <row r="1005" spans="1:27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</row>
    <row r="1006" spans="1:27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</row>
    <row r="1007" spans="1:2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</row>
    <row r="1008" spans="1:27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</row>
  </sheetData>
  <mergeCells count="27">
    <mergeCell ref="C7:D7"/>
    <mergeCell ref="A1:C1"/>
    <mergeCell ref="D1:E1"/>
    <mergeCell ref="B3:E3"/>
    <mergeCell ref="B4:E4"/>
    <mergeCell ref="A6:E6"/>
    <mergeCell ref="A8:A13"/>
    <mergeCell ref="C8:D8"/>
    <mergeCell ref="C9:D9"/>
    <mergeCell ref="C10:D10"/>
    <mergeCell ref="C12:D12"/>
    <mergeCell ref="C13:D13"/>
    <mergeCell ref="C11:D11"/>
    <mergeCell ref="A14:A19"/>
    <mergeCell ref="C14:D14"/>
    <mergeCell ref="C19:D19"/>
    <mergeCell ref="C15:D15"/>
    <mergeCell ref="C16:D16"/>
    <mergeCell ref="C17:D17"/>
    <mergeCell ref="C18:D18"/>
    <mergeCell ref="A20:A25"/>
    <mergeCell ref="C22:D22"/>
    <mergeCell ref="C23:D23"/>
    <mergeCell ref="C20:D20"/>
    <mergeCell ref="C21:D21"/>
    <mergeCell ref="C24:D24"/>
    <mergeCell ref="C25:D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/>
  <cp:revision/>
  <dcterms:created xsi:type="dcterms:W3CDTF">2019-07-05T15:41:50Z</dcterms:created>
  <dcterms:modified xsi:type="dcterms:W3CDTF">2026-06-01T22:19:36Z</dcterms:modified>
  <cp:category/>
  <cp:contentStatus/>
</cp:coreProperties>
</file>